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dell 1\OneDrive\Documents\TLKLTN\"/>
    </mc:Choice>
  </mc:AlternateContent>
  <xr:revisionPtr revIDLastSave="0" documentId="8_{6BD0DA0B-40EA-485C-BCA1-1171FAB2EF6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print 1" sheetId="1" r:id="rId1"/>
    <sheet name="Sprint 2" sheetId="2" r:id="rId2"/>
    <sheet name="Sprint 3" sheetId="3" r:id="rId3"/>
    <sheet name="Tot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3" l="1"/>
  <c r="E10" i="3"/>
  <c r="E9" i="3"/>
  <c r="E8" i="3"/>
  <c r="D8" i="3"/>
  <c r="D9" i="3"/>
  <c r="E12" i="1"/>
  <c r="E11" i="1"/>
  <c r="E10" i="1"/>
  <c r="E9" i="1"/>
  <c r="E8" i="1"/>
  <c r="D12" i="1"/>
  <c r="D11" i="1"/>
  <c r="D10" i="1"/>
  <c r="D9" i="1"/>
  <c r="D8" i="1"/>
  <c r="P86" i="1"/>
  <c r="P85" i="1"/>
  <c r="Q86" i="1"/>
  <c r="Q85" i="1"/>
  <c r="R85" i="1"/>
  <c r="AC80" i="3"/>
  <c r="AC81" i="3"/>
  <c r="AB80" i="3"/>
  <c r="AD80" i="3"/>
  <c r="AD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Z81" i="3"/>
  <c r="AA81" i="3"/>
  <c r="AB81" i="3"/>
  <c r="AE81" i="3"/>
  <c r="AF81" i="3"/>
  <c r="AG80" i="3"/>
  <c r="D8" i="2"/>
  <c r="D12" i="3"/>
  <c r="D11" i="3"/>
  <c r="D10" i="3"/>
  <c r="D12" i="2"/>
  <c r="D11" i="2"/>
  <c r="D9" i="2"/>
  <c r="G86" i="1"/>
  <c r="G85" i="1"/>
  <c r="G81" i="3"/>
  <c r="G80" i="3"/>
  <c r="D10" i="2"/>
  <c r="Y81" i="3"/>
  <c r="AG81" i="3"/>
  <c r="U80" i="3"/>
  <c r="V80" i="3"/>
  <c r="W80" i="3"/>
  <c r="X80" i="3"/>
  <c r="Y80" i="3"/>
  <c r="Z80" i="3"/>
  <c r="AA80" i="3"/>
  <c r="AE80" i="3"/>
  <c r="AF80" i="3"/>
  <c r="R89" i="2"/>
  <c r="R88" i="2"/>
  <c r="M89" i="2"/>
  <c r="M88" i="2"/>
  <c r="K88" i="2"/>
  <c r="L88" i="2"/>
  <c r="N88" i="2"/>
  <c r="O88" i="2"/>
  <c r="O89" i="2"/>
  <c r="P88" i="2"/>
  <c r="Q88" i="2"/>
  <c r="T88" i="2"/>
  <c r="U88" i="2"/>
  <c r="V88" i="2"/>
  <c r="I89" i="2"/>
  <c r="J89" i="2"/>
  <c r="K89" i="2"/>
  <c r="L89" i="2"/>
  <c r="N89" i="2"/>
  <c r="P89" i="2"/>
  <c r="Q89" i="2"/>
  <c r="S89" i="2"/>
  <c r="G89" i="2"/>
  <c r="U89" i="2"/>
  <c r="T89" i="2"/>
  <c r="S88" i="2"/>
  <c r="E12" i="2"/>
  <c r="E11" i="2"/>
  <c r="E10" i="2"/>
  <c r="E9" i="2"/>
  <c r="E8" i="2"/>
  <c r="K85" i="1"/>
  <c r="J85" i="1"/>
  <c r="I85" i="1"/>
  <c r="M85" i="1"/>
  <c r="N85" i="1"/>
  <c r="T85" i="1"/>
  <c r="W85" i="1"/>
  <c r="I86" i="1"/>
  <c r="J86" i="1"/>
  <c r="K86" i="1"/>
  <c r="L86" i="1"/>
  <c r="M86" i="1"/>
  <c r="N86" i="1"/>
  <c r="O86" i="1"/>
  <c r="R86" i="1"/>
  <c r="S86" i="1"/>
  <c r="T86" i="1"/>
  <c r="V86" i="1"/>
  <c r="U86" i="1"/>
  <c r="G88" i="2"/>
  <c r="J88" i="2"/>
  <c r="I88" i="2"/>
  <c r="W86" i="1"/>
  <c r="V85" i="1"/>
  <c r="U85" i="1"/>
  <c r="S85" i="1"/>
  <c r="O85" i="1"/>
  <c r="L85" i="1"/>
  <c r="T80" i="3"/>
  <c r="S80" i="3"/>
  <c r="R80" i="3"/>
  <c r="Q80" i="3"/>
  <c r="P80" i="3"/>
  <c r="O80" i="3"/>
  <c r="N80" i="3"/>
  <c r="M80" i="3"/>
  <c r="L80" i="3"/>
  <c r="K80" i="3"/>
  <c r="J80" i="3"/>
  <c r="I80" i="3"/>
  <c r="E12" i="3"/>
  <c r="E13" i="3" l="1"/>
  <c r="D13" i="2"/>
  <c r="V89" i="2"/>
  <c r="E13" i="2"/>
  <c r="E13" i="1"/>
  <c r="K4" i="4"/>
  <c r="J4" i="4"/>
  <c r="G4" i="4"/>
  <c r="F4" i="4"/>
  <c r="G6" i="4"/>
  <c r="F6" i="4"/>
  <c r="E6" i="4"/>
  <c r="C6" i="4"/>
  <c r="B6" i="4"/>
  <c r="K5" i="4"/>
  <c r="J5" i="4"/>
  <c r="I5" i="4"/>
  <c r="H5" i="4"/>
  <c r="G5" i="4"/>
  <c r="F5" i="4"/>
  <c r="E5" i="4"/>
  <c r="D5" i="4"/>
  <c r="C5" i="4"/>
  <c r="B5" i="4"/>
  <c r="I4" i="4"/>
  <c r="H4" i="4"/>
  <c r="E4" i="4"/>
  <c r="C4" i="4"/>
  <c r="B4" i="4"/>
  <c r="K6" i="4"/>
  <c r="J6" i="4"/>
  <c r="I6" i="4"/>
  <c r="H6" i="4"/>
  <c r="D13" i="3" l="1"/>
  <c r="D6" i="4"/>
  <c r="G7" i="4"/>
  <c r="F7" i="4"/>
  <c r="C7" i="4"/>
  <c r="B7" i="4"/>
  <c r="E7" i="4"/>
  <c r="K7" i="4"/>
  <c r="I7" i="4"/>
  <c r="H7" i="4"/>
  <c r="J7" i="4"/>
  <c r="F12" i="4" l="1"/>
  <c r="D13" i="1" l="1"/>
  <c r="D4" i="4"/>
  <c r="D7" i="4" s="1"/>
  <c r="F11" i="4" l="1"/>
</calcChain>
</file>

<file path=xl/sharedStrings.xml><?xml version="1.0" encoding="utf-8"?>
<sst xmlns="http://schemas.openxmlformats.org/spreadsheetml/2006/main" count="463" uniqueCount="207">
  <si>
    <t>Project name:</t>
  </si>
  <si>
    <t>Xây dựng website đặt tour du lịch tích hợp hệ thống gợi ý dựa trên AI</t>
  </si>
  <si>
    <t>Kết thúc đúng hạn</t>
  </si>
  <si>
    <t>Module name:</t>
  </si>
  <si>
    <t>Sprint 1</t>
  </si>
  <si>
    <t>Muộn</t>
  </si>
  <si>
    <t>Start date:</t>
  </si>
  <si>
    <t>Trước thời hạn</t>
  </si>
  <si>
    <t>End date:</t>
  </si>
  <si>
    <t>SPRINT 1 REPORT</t>
  </si>
  <si>
    <t>No</t>
  </si>
  <si>
    <t>Thành viên</t>
  </si>
  <si>
    <t>Thực tế</t>
  </si>
  <si>
    <t>Ước tính</t>
  </si>
  <si>
    <t>Phạm Văn Bảo</t>
  </si>
  <si>
    <t>Phạm Minh Quân</t>
  </si>
  <si>
    <t>Võ Hồ Thành Trung</t>
  </si>
  <si>
    <t>Lê Thanh Hà</t>
  </si>
  <si>
    <t>Nguyễn Thành Luân</t>
  </si>
  <si>
    <t>Tổng</t>
  </si>
  <si>
    <t>Sprint</t>
  </si>
  <si>
    <t>Compoment</t>
  </si>
  <si>
    <t>Task name</t>
  </si>
  <si>
    <t>Responsible Member</t>
  </si>
  <si>
    <t>Họp kế hoạch Sprint</t>
  </si>
  <si>
    <t>All team</t>
  </si>
  <si>
    <t>Tạo Sprint Backlog 1</t>
  </si>
  <si>
    <t>Bảo,Trung</t>
  </si>
  <si>
    <t>Tạo tài liệu kiểm thử cho Sprint</t>
  </si>
  <si>
    <t>Hà,Luân</t>
  </si>
  <si>
    <t>User interface design</t>
  </si>
  <si>
    <t>Giao diện đăng ký</t>
  </si>
  <si>
    <t>Trung</t>
  </si>
  <si>
    <t>Giao diện đăng nhập</t>
  </si>
  <si>
    <t>Giao diện đăng xuất</t>
  </si>
  <si>
    <t>Luân</t>
  </si>
  <si>
    <t>Giao diện quên mật khẩu</t>
  </si>
  <si>
    <t>Giao diện xem thông tin tour</t>
  </si>
  <si>
    <t>Quân</t>
  </si>
  <si>
    <t>Giao diện đặt tour</t>
  </si>
  <si>
    <t>Hà</t>
  </si>
  <si>
    <t>Giao diện thanh toán</t>
  </si>
  <si>
    <t>Review all user interfaces of sprint 1</t>
  </si>
  <si>
    <t>Design test case</t>
  </si>
  <si>
    <t>Thiêt kế trường kiểm thử cho đăng ký</t>
  </si>
  <si>
    <t>Thiêt kế trường kiểm thử cho đăng nhập</t>
  </si>
  <si>
    <t>Thiêt kế trường kiểm thử cho đăng xuất</t>
  </si>
  <si>
    <t>Thiêt kế trường kiểm thử cho quên mật khẩu</t>
  </si>
  <si>
    <t>Bảo</t>
  </si>
  <si>
    <t>Thiêt kế trường kiểm thử cho xem thông tin tour</t>
  </si>
  <si>
    <t>Thiêt kế trường kiểm thử cho đặt tour</t>
  </si>
  <si>
    <t>Thiêt kế trường kiểm thử cho thanh toán</t>
  </si>
  <si>
    <t>Review all test case of Sprint 1</t>
  </si>
  <si>
    <t>Coding</t>
  </si>
  <si>
    <t>Code back-end cho đăng ký</t>
  </si>
  <si>
    <t>Thiết kê front-end cho đằng ký</t>
  </si>
  <si>
    <t>Code back-end cho đăng nhập</t>
  </si>
  <si>
    <t>Thiết kê front-end cho đăng nhập</t>
  </si>
  <si>
    <t>Code back-end cho đăng xuất</t>
  </si>
  <si>
    <t>Thiết kê front-end cho đăng xuất</t>
  </si>
  <si>
    <t>Code back-end cho quên mật khẩu</t>
  </si>
  <si>
    <t>Thiết kê front-end cho quên mật khẩu</t>
  </si>
  <si>
    <t>Code back-end cho xem thông tin tour</t>
  </si>
  <si>
    <t>Thiết kê front-end cho  xem thông tin tour</t>
  </si>
  <si>
    <t>Code back-end cho đặt tour</t>
  </si>
  <si>
    <t>Bảo,Quân</t>
  </si>
  <si>
    <t>Thiết kê front-end cho đặt tour</t>
  </si>
  <si>
    <t>Code back-end cho thanh toán</t>
  </si>
  <si>
    <t>Thiết kê front-end cho  thanh toán</t>
  </si>
  <si>
    <t xml:space="preserve">Integrate code </t>
  </si>
  <si>
    <t>Testing</t>
  </si>
  <si>
    <t>Kiểm tra đăng ký</t>
  </si>
  <si>
    <t>Kiểm tra đăng nhập</t>
  </si>
  <si>
    <t>Kiểm tra đăng xuất</t>
  </si>
  <si>
    <t>Kiểm tra quên mật khẩu</t>
  </si>
  <si>
    <t>Kiểm tra xem thông tin tour</t>
  </si>
  <si>
    <t>Kiểm tra đặt tour</t>
  </si>
  <si>
    <t>Kiểm tra thanh toán</t>
  </si>
  <si>
    <t>Fix Bug</t>
  </si>
  <si>
    <t>Sửa lỗi đăng ký</t>
  </si>
  <si>
    <t>Sửa lỗi đăng nhập</t>
  </si>
  <si>
    <t>Sửa lỗi đăng đăng xuất</t>
  </si>
  <si>
    <t>Quân,Trung</t>
  </si>
  <si>
    <t>Sửa lỗi đăng quên mật khẩu</t>
  </si>
  <si>
    <t>Sửa lỗi đăng xem thông tin tour</t>
  </si>
  <si>
    <t>Sửa lỗi đặt tour</t>
  </si>
  <si>
    <t>Sửa lỗi thanh toán</t>
  </si>
  <si>
    <t>Re-testing</t>
  </si>
  <si>
    <t>Kiểm tra lại đăng ký</t>
  </si>
  <si>
    <t>Kiểm tra lại đăng nhập</t>
  </si>
  <si>
    <t>Kiểm tra lại đăng xuất</t>
  </si>
  <si>
    <t>Kiểm tra lại quên mật khẩu</t>
  </si>
  <si>
    <t>Kiểm tra lại xem thông tin tour</t>
  </si>
  <si>
    <t>Kiểm tra lại đặt tour</t>
  </si>
  <si>
    <t>Kiểm tra lại thanh toán</t>
  </si>
  <si>
    <t>Release Sprint 1</t>
  </si>
  <si>
    <t>Sprint 1 review meeting</t>
  </si>
  <si>
    <t>Sprint 1 retrospective</t>
  </si>
  <si>
    <t>Sprint 2</t>
  </si>
  <si>
    <t>SPRINT 2 REPORT</t>
  </si>
  <si>
    <t>Tạo Sprint Backlog 2</t>
  </si>
  <si>
    <t>Giao diện quản lý thông tin cá nhân</t>
  </si>
  <si>
    <t>Giao diện đánh giá</t>
  </si>
  <si>
    <t>Giao diện quản lý tour</t>
  </si>
  <si>
    <t>Giao diện quản lý dịch vụ</t>
  </si>
  <si>
    <t>Giao diện quản lý đặt tour</t>
  </si>
  <si>
    <t>Review all user interfaces of sprint 2</t>
  </si>
  <si>
    <t>Thiết kế Quản lý thông tin cá nhân</t>
  </si>
  <si>
    <t>Thiết kế Đánh giá</t>
  </si>
  <si>
    <t>Thiết kế Quản lý tour</t>
  </si>
  <si>
    <t>Thiết kế Quản lý dịch vụ</t>
  </si>
  <si>
    <t>Thiết kế Quản lý đặt tour</t>
  </si>
  <si>
    <t xml:space="preserve">Thiết kế  quản lý đánh giá
</t>
  </si>
  <si>
    <t xml:space="preserve">Thiết kế  xem hóa đơn
</t>
  </si>
  <si>
    <t>Review all test case of Sprint 2</t>
  </si>
  <si>
    <t>Code back-end cho Quản lý thông tin cá nhân</t>
  </si>
  <si>
    <t>Thiết kê front-end cho Quản lý thông tin cá nhân</t>
  </si>
  <si>
    <t>Code back-end cho Đánh giá</t>
  </si>
  <si>
    <t>Thiết kê front-end cho Đánh giá</t>
  </si>
  <si>
    <t>Code back-end cho Quản lý tour</t>
  </si>
  <si>
    <t>Thiết kê front-end cho Quản lý tour</t>
  </si>
  <si>
    <t>Code back-end cho Quản lý dịch vụ</t>
  </si>
  <si>
    <t>Thiết kê front-end cho Quản lý dịch vụ</t>
  </si>
  <si>
    <t>Code back-end cho Quản lý đặt tour</t>
  </si>
  <si>
    <t>Thiết kê front-end cho Quản lý đặt tour</t>
  </si>
  <si>
    <t>Code back-end cho Quản lý đánh giá</t>
  </si>
  <si>
    <t>Thiết kê front-end cho Quản lý đánh giá</t>
  </si>
  <si>
    <t xml:space="preserve">Code back-end cho Xem hóa đơn
</t>
  </si>
  <si>
    <t xml:space="preserve">Thiết kê front-end cho Xem hóa đơn
</t>
  </si>
  <si>
    <t>Kiểm tra  Quản lý thông tin cá nhân</t>
  </si>
  <si>
    <t>Kiểm tra  Đánh giá</t>
  </si>
  <si>
    <t>Kiểm tra  Quản lý tour</t>
  </si>
  <si>
    <t>Kiểm tra  Quản lý dịch vụ</t>
  </si>
  <si>
    <t>Kiểm tra  Quản lý đặt tour</t>
  </si>
  <si>
    <t xml:space="preserve">Kiểm tra Quản lý đánh giá
</t>
  </si>
  <si>
    <t xml:space="preserve">Kiểm tra  Xem hóa đơn
</t>
  </si>
  <si>
    <t>Sửa lỗi Quản lý thông tin cá nhân</t>
  </si>
  <si>
    <t>Sửa lỗi Đánh giá</t>
  </si>
  <si>
    <t>Sửa lỗi Quản lý tour</t>
  </si>
  <si>
    <t>Sửa lỗi Quản lý dịch vụ</t>
  </si>
  <si>
    <t>Sửa lỗi Quản lý đặt tour</t>
  </si>
  <si>
    <t xml:space="preserve">Sửa lỗi Quản lý đánh giá
</t>
  </si>
  <si>
    <t xml:space="preserve">Sửa lỗi Xem hóa đơn
</t>
  </si>
  <si>
    <t>Kiểm tra lại Quản lý thông tin cá nhân</t>
  </si>
  <si>
    <t>Kiểm tra lại Đánh giá</t>
  </si>
  <si>
    <t>Kiểm tra lại Quản lý tour</t>
  </si>
  <si>
    <t>Kiểm tra lại Quản lý dịch vụ</t>
  </si>
  <si>
    <t>Kiểm tra lại Quản lý đặt tour</t>
  </si>
  <si>
    <t xml:space="preserve">Kiểm tra lại Quản lý đánh giá
</t>
  </si>
  <si>
    <t xml:space="preserve">Kiểm tra lại Xem hóa đơn
</t>
  </si>
  <si>
    <t>Release Sprint 2</t>
  </si>
  <si>
    <t>Sprint 2 review meeting</t>
  </si>
  <si>
    <t>Sprint 2 retrospective</t>
  </si>
  <si>
    <t>Sprint 3</t>
  </si>
  <si>
    <t>SPRINT 3 REPORT</t>
  </si>
  <si>
    <t>Tạo Sprint Backlog 3</t>
  </si>
  <si>
    <t>Tìm kiếm</t>
  </si>
  <si>
    <t>Quản lý tài khoản</t>
  </si>
  <si>
    <t>Quản lý khuyến mãi</t>
  </si>
  <si>
    <t>Báo cáo thống kê</t>
  </si>
  <si>
    <t>Chatbot</t>
  </si>
  <si>
    <t>Quản lý thanh toán</t>
  </si>
  <si>
    <t>Review all user interfaces of sprint 3</t>
  </si>
  <si>
    <t>Thiết kế Tìm kiếm</t>
  </si>
  <si>
    <t>Thiết kế Quản lý tài khoản</t>
  </si>
  <si>
    <t>Thiết kế Quản lý khuyến mãi</t>
  </si>
  <si>
    <t>Thiết kế Báo cáo thống kê</t>
  </si>
  <si>
    <t>Thiết kế Chatbot</t>
  </si>
  <si>
    <t>Thiết kế  Quản lý thanh toán</t>
  </si>
  <si>
    <t>Code back-end cho Tìm kiếm</t>
  </si>
  <si>
    <t>Code front-end cho Tìm kiếm</t>
  </si>
  <si>
    <t>Code back-end cho Quản lý tài khoản</t>
  </si>
  <si>
    <t>Code front-end cho Quản lý tài khoản</t>
  </si>
  <si>
    <t>Code back-end cho Quản lý khuyến mãi</t>
  </si>
  <si>
    <t>Code front-end cho Quản lý khuyến mãi</t>
  </si>
  <si>
    <t>Code back-end cho Báo cáo thống kê</t>
  </si>
  <si>
    <t>Code front-end cho Báo cáo thống kê</t>
  </si>
  <si>
    <t xml:space="preserve">Code back-end cho chatbot </t>
  </si>
  <si>
    <t>Code front-end cho Chatbot</t>
  </si>
  <si>
    <t>Code back-end cho Quản lý thanh toán</t>
  </si>
  <si>
    <t>Code front-end cho Quản lý thanh toán</t>
  </si>
  <si>
    <t>Kiểm tra Tìm kiếm</t>
  </si>
  <si>
    <t>Kiểm tra Quản lý tài khoản</t>
  </si>
  <si>
    <t>Kiểm tra Quản lý khuyến mãi</t>
  </si>
  <si>
    <t>Kiểm tra Báo cáo thống kê</t>
  </si>
  <si>
    <t>Kiểm tra Chatbot</t>
  </si>
  <si>
    <t>Kiểm tra Quản lý thanh toán</t>
  </si>
  <si>
    <t>Sửa lỗi Tìm kiếm</t>
  </si>
  <si>
    <t>Sửa lỗi Quản lý tài khoản</t>
  </si>
  <si>
    <t>Sửa lỗi Quản lý khuyến mãi</t>
  </si>
  <si>
    <t>Bảo,Hà</t>
  </si>
  <si>
    <t>Sửa lỗi Báo cáo thống kê</t>
  </si>
  <si>
    <t>Sửa lỗi Chatbot</t>
  </si>
  <si>
    <t>Sửa lỗi Quản lý thanh toán</t>
  </si>
  <si>
    <t>Kiểm tra lại Tìm kiếm</t>
  </si>
  <si>
    <t>Kiểm tra lại Quản lý tài khoản</t>
  </si>
  <si>
    <t>Kiểm tra lạiQuản lý khuyến mãi</t>
  </si>
  <si>
    <t>Kiểm tra lại Báo cáo thống kê</t>
  </si>
  <si>
    <t>Kiểm tra lại Chatbot</t>
  </si>
  <si>
    <t>Kiểm tra lại Quản lý thanh toán</t>
  </si>
  <si>
    <t>Release Sprint 3</t>
  </si>
  <si>
    <t>Sprint 3 review meeting</t>
  </si>
  <si>
    <t>Sprint 3 retrospective</t>
  </si>
  <si>
    <t>SPRINT BACKLOG REPORT</t>
  </si>
  <si>
    <t>FINAL TOTAL</t>
  </si>
  <si>
    <t xml:space="preserve">Giao diện quản lý đánh giá
</t>
  </si>
  <si>
    <t xml:space="preserve">Giao diện xem hóa đơn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</si>
</sst>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"/>
  </numFmts>
  <fonts count="12">
    <font>
      <sz val="11"/>
      <color theme="1"/>
      <name val="Calibri"/>
      <charset val="134"/>
      <scheme val="minor"/>
    </font>
    <font>
      <b/>
      <sz val="13"/>
      <color theme="1"/>
      <name val="Times New Roman"/>
      <family val="1"/>
    </font>
    <font>
      <sz val="11"/>
      <name val="Calibri"/>
      <family val="2"/>
      <scheme val="minor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1"/>
      <color theme="1"/>
      <name val="Calibri"/>
      <family val="2"/>
    </font>
    <font>
      <sz val="13"/>
      <name val="Times New Roman"/>
      <family val="1"/>
    </font>
    <font>
      <sz val="13"/>
      <color theme="0"/>
      <name val="Times New Roman"/>
      <family val="1"/>
    </font>
    <font>
      <sz val="13"/>
      <color rgb="FF081B3A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3"/>
      <color rgb="FFFF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FF0000"/>
        <bgColor rgb="FFFF0000"/>
      </patternFill>
    </fill>
    <fill>
      <patternFill patternType="solid">
        <fgColor rgb="FF30F035"/>
        <bgColor rgb="FF30F035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theme="6"/>
        <bgColor theme="6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rgb="FF61F725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0" borderId="6" xfId="0" applyFont="1" applyBorder="1"/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center" vertical="center"/>
    </xf>
    <xf numFmtId="0" fontId="3" fillId="3" borderId="11" xfId="0" applyFont="1" applyFill="1" applyBorder="1"/>
    <xf numFmtId="0" fontId="3" fillId="0" borderId="10" xfId="0" applyFont="1" applyBorder="1"/>
    <xf numFmtId="0" fontId="3" fillId="3" borderId="12" xfId="0" applyFont="1" applyFill="1" applyBorder="1"/>
    <xf numFmtId="0" fontId="3" fillId="0" borderId="14" xfId="0" applyFont="1" applyBorder="1"/>
    <xf numFmtId="0" fontId="1" fillId="0" borderId="17" xfId="0" applyFont="1" applyBorder="1"/>
    <xf numFmtId="0" fontId="3" fillId="0" borderId="0" xfId="0" applyFont="1"/>
    <xf numFmtId="0" fontId="3" fillId="4" borderId="18" xfId="0" applyFont="1" applyFill="1" applyBorder="1"/>
    <xf numFmtId="0" fontId="3" fillId="0" borderId="19" xfId="0" applyFont="1" applyBorder="1" applyAlignment="1">
      <alignment horizontal="left" vertical="center" wrapText="1"/>
    </xf>
    <xf numFmtId="0" fontId="3" fillId="0" borderId="17" xfId="0" applyFont="1" applyBorder="1"/>
    <xf numFmtId="0" fontId="3" fillId="5" borderId="20" xfId="0" applyFont="1" applyFill="1" applyBorder="1"/>
    <xf numFmtId="0" fontId="3" fillId="0" borderId="21" xfId="0" applyFont="1" applyBorder="1" applyAlignment="1">
      <alignment vertical="center" wrapText="1"/>
    </xf>
    <xf numFmtId="14" fontId="3" fillId="0" borderId="17" xfId="0" applyNumberFormat="1" applyFont="1" applyBorder="1" applyAlignment="1">
      <alignment horizontal="left"/>
    </xf>
    <xf numFmtId="0" fontId="3" fillId="6" borderId="22" xfId="0" applyFont="1" applyFill="1" applyBorder="1"/>
    <xf numFmtId="0" fontId="3" fillId="0" borderId="23" xfId="0" applyFont="1" applyBorder="1" applyAlignment="1">
      <alignment horizontal="left" vertical="center"/>
    </xf>
    <xf numFmtId="0" fontId="1" fillId="8" borderId="17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7" borderId="17" xfId="0" applyFont="1" applyFill="1" applyBorder="1"/>
    <xf numFmtId="0" fontId="1" fillId="7" borderId="9" xfId="0" applyFont="1" applyFill="1" applyBorder="1"/>
    <xf numFmtId="0" fontId="1" fillId="0" borderId="9" xfId="0" applyFont="1" applyBorder="1" applyAlignment="1">
      <alignment textRotation="90" wrapText="1"/>
    </xf>
    <xf numFmtId="164" fontId="1" fillId="0" borderId="9" xfId="0" applyNumberFormat="1" applyFont="1" applyBorder="1" applyAlignment="1">
      <alignment textRotation="90" wrapText="1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9" xfId="0" applyFont="1" applyBorder="1"/>
    <xf numFmtId="0" fontId="3" fillId="0" borderId="2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5" xfId="0" applyFont="1" applyBorder="1"/>
    <xf numFmtId="0" fontId="3" fillId="0" borderId="17" xfId="0" applyFont="1" applyBorder="1" applyAlignment="1">
      <alignment horizontal="left"/>
    </xf>
    <xf numFmtId="0" fontId="1" fillId="10" borderId="9" xfId="0" applyFont="1" applyFill="1" applyBorder="1"/>
    <xf numFmtId="164" fontId="1" fillId="0" borderId="0" xfId="0" applyNumberFormat="1" applyFont="1" applyAlignment="1">
      <alignment textRotation="90" wrapText="1"/>
    </xf>
    <xf numFmtId="164" fontId="5" fillId="0" borderId="0" xfId="0" applyNumberFormat="1" applyFont="1"/>
    <xf numFmtId="0" fontId="1" fillId="0" borderId="17" xfId="0" applyFont="1" applyBorder="1" applyAlignment="1">
      <alignment wrapText="1"/>
    </xf>
    <xf numFmtId="0" fontId="7" fillId="11" borderId="0" xfId="0" applyFont="1" applyFill="1"/>
    <xf numFmtId="0" fontId="7" fillId="11" borderId="0" xfId="0" applyFont="1" applyFill="1" applyAlignment="1">
      <alignment horizontal="left" vertical="center"/>
    </xf>
    <xf numFmtId="0" fontId="8" fillId="0" borderId="0" xfId="0" applyFont="1"/>
    <xf numFmtId="0" fontId="3" fillId="5" borderId="37" xfId="0" applyFont="1" applyFill="1" applyBorder="1"/>
    <xf numFmtId="0" fontId="1" fillId="0" borderId="25" xfId="0" applyFont="1" applyBorder="1" applyAlignment="1">
      <alignment textRotation="90" wrapText="1"/>
    </xf>
    <xf numFmtId="164" fontId="1" fillId="0" borderId="25" xfId="0" applyNumberFormat="1" applyFont="1" applyBorder="1" applyAlignment="1">
      <alignment textRotation="90" wrapText="1"/>
    </xf>
    <xf numFmtId="0" fontId="3" fillId="0" borderId="37" xfId="0" applyFont="1" applyBorder="1"/>
    <xf numFmtId="0" fontId="3" fillId="6" borderId="37" xfId="0" applyFont="1" applyFill="1" applyBorder="1"/>
    <xf numFmtId="0" fontId="3" fillId="13" borderId="37" xfId="0" applyFont="1" applyFill="1" applyBorder="1"/>
    <xf numFmtId="0" fontId="3" fillId="14" borderId="37" xfId="0" applyFont="1" applyFill="1" applyBorder="1"/>
    <xf numFmtId="0" fontId="4" fillId="0" borderId="37" xfId="0" applyFont="1" applyBorder="1"/>
    <xf numFmtId="0" fontId="3" fillId="4" borderId="37" xfId="0" applyFont="1" applyFill="1" applyBorder="1"/>
    <xf numFmtId="0" fontId="6" fillId="0" borderId="37" xfId="0" applyFont="1" applyBorder="1"/>
    <xf numFmtId="0" fontId="3" fillId="12" borderId="37" xfId="0" applyFont="1" applyFill="1" applyBorder="1"/>
    <xf numFmtId="0" fontId="10" fillId="0" borderId="37" xfId="0" applyFont="1" applyBorder="1"/>
    <xf numFmtId="0" fontId="1" fillId="0" borderId="15" xfId="0" applyFont="1" applyBorder="1" applyAlignment="1">
      <alignment horizontal="left"/>
    </xf>
    <xf numFmtId="0" fontId="2" fillId="0" borderId="16" xfId="0" applyFont="1" applyBorder="1"/>
    <xf numFmtId="0" fontId="1" fillId="7" borderId="15" xfId="0" applyFont="1" applyFill="1" applyBorder="1" applyAlignment="1">
      <alignment horizontal="center"/>
    </xf>
    <xf numFmtId="0" fontId="2" fillId="0" borderId="24" xfId="0" applyFont="1" applyBorder="1"/>
    <xf numFmtId="0" fontId="1" fillId="7" borderId="5" xfId="0" applyFont="1" applyFill="1" applyBorder="1" applyAlignment="1">
      <alignment horizontal="center"/>
    </xf>
    <xf numFmtId="0" fontId="9" fillId="0" borderId="6" xfId="0" applyFont="1" applyBorder="1"/>
    <xf numFmtId="0" fontId="3" fillId="0" borderId="5" xfId="0" applyFont="1" applyBorder="1" applyAlignment="1">
      <alignment horizontal="left"/>
    </xf>
    <xf numFmtId="0" fontId="9" fillId="0" borderId="26" xfId="0" applyFont="1" applyBorder="1"/>
    <xf numFmtId="0" fontId="3" fillId="0" borderId="5" xfId="0" applyFont="1" applyBorder="1" applyAlignment="1">
      <alignment horizontal="center"/>
    </xf>
    <xf numFmtId="0" fontId="9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3" fillId="0" borderId="35" xfId="0" applyFont="1" applyBorder="1" applyAlignment="1">
      <alignment wrapText="1" readingOrder="1"/>
    </xf>
    <xf numFmtId="0" fontId="3" fillId="0" borderId="36" xfId="0" applyFont="1" applyBorder="1" applyAlignment="1">
      <alignment wrapText="1" readingOrder="1"/>
    </xf>
    <xf numFmtId="0" fontId="3" fillId="0" borderId="37" xfId="0" applyFont="1" applyBorder="1" applyAlignment="1">
      <alignment wrapText="1" readingOrder="1"/>
    </xf>
    <xf numFmtId="0" fontId="3" fillId="0" borderId="38" xfId="0" applyFont="1" applyBorder="1" applyAlignment="1">
      <alignment wrapText="1" readingOrder="1"/>
    </xf>
    <xf numFmtId="0" fontId="1" fillId="0" borderId="5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9" fillId="0" borderId="37" xfId="0" applyFont="1" applyBorder="1"/>
    <xf numFmtId="0" fontId="3" fillId="0" borderId="25" xfId="0" applyFont="1" applyBorder="1" applyAlignment="1">
      <alignment horizontal="center" vertical="center" wrapText="1"/>
    </xf>
    <xf numFmtId="0" fontId="9" fillId="0" borderId="27" xfId="0" applyFont="1" applyBorder="1"/>
    <xf numFmtId="0" fontId="9" fillId="0" borderId="28" xfId="0" applyFont="1" applyBorder="1"/>
    <xf numFmtId="0" fontId="3" fillId="0" borderId="29" xfId="0" applyFont="1" applyBorder="1" applyAlignment="1">
      <alignment horizontal="center" vertical="center" wrapText="1"/>
    </xf>
    <xf numFmtId="0" fontId="9" fillId="0" borderId="39" xfId="0" applyFont="1" applyBorder="1"/>
    <xf numFmtId="0" fontId="9" fillId="0" borderId="32" xfId="0" applyFont="1" applyBorder="1"/>
    <xf numFmtId="0" fontId="1" fillId="7" borderId="41" xfId="0" applyFont="1" applyFill="1" applyBorder="1" applyAlignment="1">
      <alignment horizontal="center" vertical="center"/>
    </xf>
    <xf numFmtId="0" fontId="1" fillId="7" borderId="42" xfId="0" applyFont="1" applyFill="1" applyBorder="1" applyAlignment="1">
      <alignment horizontal="center" vertical="center"/>
    </xf>
    <xf numFmtId="0" fontId="1" fillId="7" borderId="40" xfId="0" applyFont="1" applyFill="1" applyBorder="1" applyAlignment="1">
      <alignment horizontal="center" vertical="center"/>
    </xf>
    <xf numFmtId="0" fontId="1" fillId="7" borderId="43" xfId="0" applyFont="1" applyFill="1" applyBorder="1" applyAlignment="1">
      <alignment horizontal="center" vertical="center"/>
    </xf>
    <xf numFmtId="0" fontId="1" fillId="7" borderId="44" xfId="0" applyFont="1" applyFill="1" applyBorder="1" applyAlignment="1">
      <alignment horizontal="center" vertical="center"/>
    </xf>
    <xf numFmtId="0" fontId="1" fillId="7" borderId="45" xfId="0" applyFont="1" applyFill="1" applyBorder="1" applyAlignment="1">
      <alignment horizontal="center" vertical="center"/>
    </xf>
    <xf numFmtId="0" fontId="3" fillId="0" borderId="46" xfId="0" applyFont="1" applyBorder="1" applyAlignment="1">
      <alignment horizontal="center" wrapText="1" readingOrder="1"/>
    </xf>
    <xf numFmtId="0" fontId="3" fillId="0" borderId="47" xfId="0" applyFont="1" applyBorder="1" applyAlignment="1">
      <alignment horizontal="center" wrapText="1" readingOrder="1"/>
    </xf>
    <xf numFmtId="0" fontId="9" fillId="0" borderId="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3" fillId="0" borderId="2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11" fillId="15" borderId="5" xfId="0" applyFont="1" applyFill="1" applyBorder="1" applyAlignment="1">
      <alignment horizontal="center"/>
    </xf>
    <xf numFmtId="0" fontId="11" fillId="15" borderId="26" xfId="0" applyFont="1" applyFill="1" applyBorder="1" applyAlignment="1">
      <alignment horizontal="center"/>
    </xf>
    <xf numFmtId="0" fontId="4" fillId="0" borderId="9" xfId="0" applyFont="1" applyBorder="1" applyAlignment="1">
      <alignment horizontal="left" wrapText="1"/>
    </xf>
    <xf numFmtId="0" fontId="4" fillId="0" borderId="9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3" fillId="0" borderId="5" xfId="0" applyFont="1" applyBorder="1" applyAlignment="1">
      <alignment horizontal="left" wrapText="1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6" fillId="0" borderId="26" xfId="0" applyFont="1" applyBorder="1"/>
    <xf numFmtId="0" fontId="3" fillId="0" borderId="3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1" fillId="10" borderId="29" xfId="0" applyFont="1" applyFill="1" applyBorder="1" applyAlignment="1">
      <alignment horizontal="center" vertical="center"/>
    </xf>
    <xf numFmtId="0" fontId="9" fillId="0" borderId="30" xfId="0" applyFont="1" applyBorder="1"/>
    <xf numFmtId="0" fontId="9" fillId="0" borderId="31" xfId="0" applyFont="1" applyBorder="1"/>
    <xf numFmtId="0" fontId="9" fillId="0" borderId="33" xfId="0" applyFont="1" applyBorder="1"/>
    <xf numFmtId="0" fontId="9" fillId="0" borderId="34" xfId="0" applyFont="1" applyBorder="1"/>
    <xf numFmtId="0" fontId="2" fillId="0" borderId="6" xfId="0" applyFont="1" applyBorder="1"/>
    <xf numFmtId="0" fontId="2" fillId="0" borderId="26" xfId="0" applyFont="1" applyBorder="1"/>
    <xf numFmtId="0" fontId="2" fillId="0" borderId="6" xfId="0" applyFont="1" applyBorder="1" applyAlignment="1">
      <alignment horizontal="left"/>
    </xf>
    <xf numFmtId="0" fontId="2" fillId="0" borderId="27" xfId="0" applyFont="1" applyBorder="1"/>
    <xf numFmtId="0" fontId="2" fillId="0" borderId="28" xfId="0" applyFont="1" applyBorder="1"/>
    <xf numFmtId="0" fontId="1" fillId="7" borderId="29" xfId="0" applyFont="1" applyFill="1" applyBorder="1" applyAlignment="1">
      <alignment horizontal="center" vertical="center"/>
    </xf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3" fillId="2" borderId="1" xfId="0" applyFont="1" applyFill="1" applyBorder="1" applyAlignment="1">
      <alignment horizontal="center"/>
    </xf>
    <xf numFmtId="0" fontId="2" fillId="0" borderId="3" xfId="0" applyFont="1" applyBorder="1"/>
    <xf numFmtId="0" fontId="3" fillId="2" borderId="4" xfId="0" applyFont="1" applyFill="1" applyBorder="1" applyAlignment="1">
      <alignment horizontal="center"/>
    </xf>
    <xf numFmtId="0" fontId="2" fillId="0" borderId="8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2" borderId="5" xfId="0" applyFont="1" applyFill="1" applyBorder="1" applyAlignment="1">
      <alignment horizontal="center" vertical="center"/>
    </xf>
    <xf numFmtId="0" fontId="2" fillId="0" borderId="7" xfId="0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61F7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001627339300251E-2"/>
          <c:y val="3.6437805789297791E-2"/>
          <c:w val="0.862489829129373"/>
          <c:h val="0.89661854471465896"/>
        </c:manualLayout>
      </c:layout>
      <c:lineChart>
        <c:grouping val="standard"/>
        <c:varyColors val="0"/>
        <c:ser>
          <c:idx val="0"/>
          <c:order val="0"/>
          <c:tx>
            <c:v>Ước tính</c:v>
          </c:tx>
          <c:spPr>
            <a:ln w="19050" cap="rnd" cmpd="sng" algn="ctr">
              <a:solidFill>
                <a:srgbClr val="5B9BD5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1'!$I$15:$W$15</c:f>
              <c:numCache>
                <c:formatCode>dd/mm</c:formatCode>
                <c:ptCount val="15"/>
                <c:pt idx="0">
                  <c:v>46100</c:v>
                </c:pt>
                <c:pt idx="1">
                  <c:v>46101</c:v>
                </c:pt>
                <c:pt idx="2">
                  <c:v>46102</c:v>
                </c:pt>
                <c:pt idx="3">
                  <c:v>46103</c:v>
                </c:pt>
                <c:pt idx="4">
                  <c:v>46104</c:v>
                </c:pt>
                <c:pt idx="5">
                  <c:v>46105</c:v>
                </c:pt>
                <c:pt idx="6">
                  <c:v>46106</c:v>
                </c:pt>
                <c:pt idx="7">
                  <c:v>46107</c:v>
                </c:pt>
                <c:pt idx="8">
                  <c:v>46108</c:v>
                </c:pt>
                <c:pt idx="9">
                  <c:v>46109</c:v>
                </c:pt>
                <c:pt idx="10">
                  <c:v>46110</c:v>
                </c:pt>
                <c:pt idx="11">
                  <c:v>46111</c:v>
                </c:pt>
                <c:pt idx="12">
                  <c:v>46112</c:v>
                </c:pt>
                <c:pt idx="13">
                  <c:v>46113</c:v>
                </c:pt>
                <c:pt idx="14">
                  <c:v>46114</c:v>
                </c:pt>
              </c:numCache>
            </c:numRef>
          </c:cat>
          <c:val>
            <c:numRef>
              <c:f>'Sprint 1'!$I$86:$W$86</c:f>
              <c:numCache>
                <c:formatCode>General</c:formatCode>
                <c:ptCount val="15"/>
                <c:pt idx="0">
                  <c:v>160</c:v>
                </c:pt>
                <c:pt idx="1">
                  <c:v>143</c:v>
                </c:pt>
                <c:pt idx="2">
                  <c:v>130</c:v>
                </c:pt>
                <c:pt idx="3">
                  <c:v>114.5</c:v>
                </c:pt>
                <c:pt idx="4">
                  <c:v>100</c:v>
                </c:pt>
                <c:pt idx="5">
                  <c:v>75</c:v>
                </c:pt>
                <c:pt idx="6">
                  <c:v>63</c:v>
                </c:pt>
                <c:pt idx="7">
                  <c:v>47</c:v>
                </c:pt>
                <c:pt idx="8">
                  <c:v>45</c:v>
                </c:pt>
                <c:pt idx="9">
                  <c:v>43</c:v>
                </c:pt>
                <c:pt idx="10">
                  <c:v>37</c:v>
                </c:pt>
                <c:pt idx="11">
                  <c:v>29</c:v>
                </c:pt>
                <c:pt idx="12">
                  <c:v>18</c:v>
                </c:pt>
                <c:pt idx="13">
                  <c:v>12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2F-4AAF-9039-1466AD7753F5}"/>
            </c:ext>
          </c:extLst>
        </c:ser>
        <c:ser>
          <c:idx val="1"/>
          <c:order val="1"/>
          <c:tx>
            <c:v>Thực tế</c:v>
          </c:tx>
          <c:spPr>
            <a:ln w="19050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1'!$I$15:$W$15</c:f>
              <c:numCache>
                <c:formatCode>dd/mm</c:formatCode>
                <c:ptCount val="15"/>
                <c:pt idx="0">
                  <c:v>46100</c:v>
                </c:pt>
                <c:pt idx="1">
                  <c:v>46101</c:v>
                </c:pt>
                <c:pt idx="2">
                  <c:v>46102</c:v>
                </c:pt>
                <c:pt idx="3">
                  <c:v>46103</c:v>
                </c:pt>
                <c:pt idx="4">
                  <c:v>46104</c:v>
                </c:pt>
                <c:pt idx="5">
                  <c:v>46105</c:v>
                </c:pt>
                <c:pt idx="6">
                  <c:v>46106</c:v>
                </c:pt>
                <c:pt idx="7">
                  <c:v>46107</c:v>
                </c:pt>
                <c:pt idx="8">
                  <c:v>46108</c:v>
                </c:pt>
                <c:pt idx="9">
                  <c:v>46109</c:v>
                </c:pt>
                <c:pt idx="10">
                  <c:v>46110</c:v>
                </c:pt>
                <c:pt idx="11">
                  <c:v>46111</c:v>
                </c:pt>
                <c:pt idx="12">
                  <c:v>46112</c:v>
                </c:pt>
                <c:pt idx="13">
                  <c:v>46113</c:v>
                </c:pt>
                <c:pt idx="14">
                  <c:v>46114</c:v>
                </c:pt>
              </c:numCache>
            </c:numRef>
          </c:cat>
          <c:val>
            <c:numRef>
              <c:f>'Sprint 1'!$I$85:$W$85</c:f>
              <c:numCache>
                <c:formatCode>General</c:formatCode>
                <c:ptCount val="15"/>
                <c:pt idx="0">
                  <c:v>165</c:v>
                </c:pt>
                <c:pt idx="1">
                  <c:v>139.5</c:v>
                </c:pt>
                <c:pt idx="2">
                  <c:v>130</c:v>
                </c:pt>
                <c:pt idx="3">
                  <c:v>115</c:v>
                </c:pt>
                <c:pt idx="4">
                  <c:v>99.5</c:v>
                </c:pt>
                <c:pt idx="5">
                  <c:v>80</c:v>
                </c:pt>
                <c:pt idx="6">
                  <c:v>61</c:v>
                </c:pt>
                <c:pt idx="7">
                  <c:v>47</c:v>
                </c:pt>
                <c:pt idx="8">
                  <c:v>45</c:v>
                </c:pt>
                <c:pt idx="9">
                  <c:v>43</c:v>
                </c:pt>
                <c:pt idx="10">
                  <c:v>38</c:v>
                </c:pt>
                <c:pt idx="11">
                  <c:v>27</c:v>
                </c:pt>
                <c:pt idx="12">
                  <c:v>18</c:v>
                </c:pt>
                <c:pt idx="13">
                  <c:v>13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2F-4AAF-9039-1466AD775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927102"/>
        <c:axId val="1630074823"/>
      </c:lineChart>
      <c:dateAx>
        <c:axId val="1292927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dd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074823"/>
        <c:crosses val="autoZero"/>
        <c:auto val="1"/>
        <c:lblOffset val="100"/>
        <c:baseTimeUnit val="days"/>
      </c:dateAx>
      <c:valAx>
        <c:axId val="163007482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92710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142934635204775"/>
          <c:y val="6.4934758691644237E-2"/>
          <c:w val="7.1212367778681854E-2"/>
          <c:h val="6.8985840289277151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b913bb-6560-4e5c-893b-a4fca8794163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Burndown Chart of Sprint 1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44746580590473"/>
          <c:y val="0.16763841807909607"/>
          <c:w val="0.83234204420099667"/>
          <c:h val="0.47341999199252638"/>
        </c:manualLayout>
      </c:layout>
      <c:lineChart>
        <c:grouping val="standard"/>
        <c:varyColors val="0"/>
        <c:ser>
          <c:idx val="0"/>
          <c:order val="0"/>
          <c:tx>
            <c:v>Ước tính</c:v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cat>
            <c:numRef>
              <c:f>'Sprint 1'!$I$15:$AF$15</c:f>
              <c:numCache>
                <c:formatCode>dd/mm</c:formatCode>
                <c:ptCount val="24"/>
                <c:pt idx="0">
                  <c:v>46100</c:v>
                </c:pt>
                <c:pt idx="1">
                  <c:v>46101</c:v>
                </c:pt>
                <c:pt idx="2">
                  <c:v>46102</c:v>
                </c:pt>
                <c:pt idx="3">
                  <c:v>46103</c:v>
                </c:pt>
                <c:pt idx="4">
                  <c:v>46104</c:v>
                </c:pt>
                <c:pt idx="5">
                  <c:v>46105</c:v>
                </c:pt>
                <c:pt idx="6">
                  <c:v>46106</c:v>
                </c:pt>
                <c:pt idx="7">
                  <c:v>46107</c:v>
                </c:pt>
                <c:pt idx="8">
                  <c:v>46108</c:v>
                </c:pt>
                <c:pt idx="9">
                  <c:v>46109</c:v>
                </c:pt>
                <c:pt idx="10">
                  <c:v>46110</c:v>
                </c:pt>
                <c:pt idx="11">
                  <c:v>46111</c:v>
                </c:pt>
                <c:pt idx="12">
                  <c:v>46112</c:v>
                </c:pt>
                <c:pt idx="13">
                  <c:v>46113</c:v>
                </c:pt>
                <c:pt idx="14">
                  <c:v>46114</c:v>
                </c:pt>
              </c:numCache>
            </c:numRef>
          </c:cat>
          <c:val>
            <c:numRef>
              <c:f>'Sprint 1'!$I$86:$W$86</c:f>
              <c:numCache>
                <c:formatCode>General</c:formatCode>
                <c:ptCount val="15"/>
                <c:pt idx="0">
                  <c:v>160</c:v>
                </c:pt>
                <c:pt idx="1">
                  <c:v>143</c:v>
                </c:pt>
                <c:pt idx="2">
                  <c:v>130</c:v>
                </c:pt>
                <c:pt idx="3">
                  <c:v>114.5</c:v>
                </c:pt>
                <c:pt idx="4">
                  <c:v>100</c:v>
                </c:pt>
                <c:pt idx="5">
                  <c:v>75</c:v>
                </c:pt>
                <c:pt idx="6">
                  <c:v>63</c:v>
                </c:pt>
                <c:pt idx="7">
                  <c:v>47</c:v>
                </c:pt>
                <c:pt idx="8">
                  <c:v>45</c:v>
                </c:pt>
                <c:pt idx="9">
                  <c:v>43</c:v>
                </c:pt>
                <c:pt idx="10">
                  <c:v>37</c:v>
                </c:pt>
                <c:pt idx="11">
                  <c:v>29</c:v>
                </c:pt>
                <c:pt idx="12">
                  <c:v>18</c:v>
                </c:pt>
                <c:pt idx="13">
                  <c:v>12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05-4006-BE7B-F776F3F27D45}"/>
            </c:ext>
          </c:extLst>
        </c:ser>
        <c:ser>
          <c:idx val="1"/>
          <c:order val="1"/>
          <c:tx>
            <c:v>Thực tế</c:v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cat>
            <c:numRef>
              <c:f>'Sprint 1'!$I$15:$AF$15</c:f>
              <c:numCache>
                <c:formatCode>dd/mm</c:formatCode>
                <c:ptCount val="24"/>
                <c:pt idx="0">
                  <c:v>46100</c:v>
                </c:pt>
                <c:pt idx="1">
                  <c:v>46101</c:v>
                </c:pt>
                <c:pt idx="2">
                  <c:v>46102</c:v>
                </c:pt>
                <c:pt idx="3">
                  <c:v>46103</c:v>
                </c:pt>
                <c:pt idx="4">
                  <c:v>46104</c:v>
                </c:pt>
                <c:pt idx="5">
                  <c:v>46105</c:v>
                </c:pt>
                <c:pt idx="6">
                  <c:v>46106</c:v>
                </c:pt>
                <c:pt idx="7">
                  <c:v>46107</c:v>
                </c:pt>
                <c:pt idx="8">
                  <c:v>46108</c:v>
                </c:pt>
                <c:pt idx="9">
                  <c:v>46109</c:v>
                </c:pt>
                <c:pt idx="10">
                  <c:v>46110</c:v>
                </c:pt>
                <c:pt idx="11">
                  <c:v>46111</c:v>
                </c:pt>
                <c:pt idx="12">
                  <c:v>46112</c:v>
                </c:pt>
                <c:pt idx="13">
                  <c:v>46113</c:v>
                </c:pt>
                <c:pt idx="14">
                  <c:v>46114</c:v>
                </c:pt>
              </c:numCache>
            </c:numRef>
          </c:cat>
          <c:val>
            <c:numRef>
              <c:f>'Sprint 1'!$I$85:$W$85</c:f>
              <c:numCache>
                <c:formatCode>General</c:formatCode>
                <c:ptCount val="15"/>
                <c:pt idx="0">
                  <c:v>165</c:v>
                </c:pt>
                <c:pt idx="1">
                  <c:v>139.5</c:v>
                </c:pt>
                <c:pt idx="2">
                  <c:v>130</c:v>
                </c:pt>
                <c:pt idx="3">
                  <c:v>115</c:v>
                </c:pt>
                <c:pt idx="4">
                  <c:v>99.5</c:v>
                </c:pt>
                <c:pt idx="5">
                  <c:v>80</c:v>
                </c:pt>
                <c:pt idx="6">
                  <c:v>61</c:v>
                </c:pt>
                <c:pt idx="7">
                  <c:v>47</c:v>
                </c:pt>
                <c:pt idx="8">
                  <c:v>45</c:v>
                </c:pt>
                <c:pt idx="9">
                  <c:v>43</c:v>
                </c:pt>
                <c:pt idx="10">
                  <c:v>38</c:v>
                </c:pt>
                <c:pt idx="11">
                  <c:v>27</c:v>
                </c:pt>
                <c:pt idx="12">
                  <c:v>18</c:v>
                </c:pt>
                <c:pt idx="13">
                  <c:v>13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05-4006-BE7B-F776F3F27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433711"/>
        <c:axId val="633062006"/>
      </c:lineChart>
      <c:dateAx>
        <c:axId val="1623433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dd/mm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062006"/>
        <c:crosses val="autoZero"/>
        <c:auto val="1"/>
        <c:lblOffset val="100"/>
        <c:baseTimeUnit val="days"/>
      </c:dateAx>
      <c:valAx>
        <c:axId val="63306200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433711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7e47d0-8c03-48c8-800f-c948d94b0340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19050" cap="rnd" cmpd="sng" algn="ctr">
              <a:solidFill>
                <a:srgbClr val="5B9BD5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2'!$I$15:$V$15</c:f>
              <c:numCache>
                <c:formatCode>dd/mm</c:formatCode>
                <c:ptCount val="14"/>
                <c:pt idx="0">
                  <c:v>46115</c:v>
                </c:pt>
                <c:pt idx="1">
                  <c:v>46116</c:v>
                </c:pt>
                <c:pt idx="2">
                  <c:v>46117</c:v>
                </c:pt>
                <c:pt idx="3">
                  <c:v>46118</c:v>
                </c:pt>
                <c:pt idx="4">
                  <c:v>46119</c:v>
                </c:pt>
                <c:pt idx="5">
                  <c:v>46120</c:v>
                </c:pt>
                <c:pt idx="6">
                  <c:v>46121</c:v>
                </c:pt>
                <c:pt idx="7">
                  <c:v>46122</c:v>
                </c:pt>
                <c:pt idx="8">
                  <c:v>46123</c:v>
                </c:pt>
                <c:pt idx="9">
                  <c:v>46124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</c:numCache>
            </c:numRef>
          </c:cat>
          <c:val>
            <c:numRef>
              <c:f>'Sprint 2'!$I$88:$V$88</c:f>
              <c:numCache>
                <c:formatCode>General</c:formatCode>
                <c:ptCount val="14"/>
                <c:pt idx="0">
                  <c:v>172</c:v>
                </c:pt>
                <c:pt idx="1">
                  <c:v>166</c:v>
                </c:pt>
                <c:pt idx="2">
                  <c:v>145</c:v>
                </c:pt>
                <c:pt idx="3">
                  <c:v>135</c:v>
                </c:pt>
                <c:pt idx="4">
                  <c:v>127</c:v>
                </c:pt>
                <c:pt idx="5">
                  <c:v>125</c:v>
                </c:pt>
                <c:pt idx="6">
                  <c:v>113.5</c:v>
                </c:pt>
                <c:pt idx="7">
                  <c:v>85.5</c:v>
                </c:pt>
                <c:pt idx="8">
                  <c:v>60</c:v>
                </c:pt>
                <c:pt idx="9">
                  <c:v>43</c:v>
                </c:pt>
                <c:pt idx="10">
                  <c:v>23</c:v>
                </c:pt>
                <c:pt idx="11">
                  <c:v>16</c:v>
                </c:pt>
                <c:pt idx="12">
                  <c:v>11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E1-4813-BC6D-EF62E69C9DB7}"/>
            </c:ext>
          </c:extLst>
        </c:ser>
        <c:ser>
          <c:idx val="1"/>
          <c:order val="1"/>
          <c:tx>
            <c:v>Ước Tính</c:v>
          </c:tx>
          <c:spPr>
            <a:ln w="19050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2'!$I$15:$V$15</c:f>
              <c:numCache>
                <c:formatCode>dd/mm</c:formatCode>
                <c:ptCount val="14"/>
                <c:pt idx="0">
                  <c:v>46115</c:v>
                </c:pt>
                <c:pt idx="1">
                  <c:v>46116</c:v>
                </c:pt>
                <c:pt idx="2">
                  <c:v>46117</c:v>
                </c:pt>
                <c:pt idx="3">
                  <c:v>46118</c:v>
                </c:pt>
                <c:pt idx="4">
                  <c:v>46119</c:v>
                </c:pt>
                <c:pt idx="5">
                  <c:v>46120</c:v>
                </c:pt>
                <c:pt idx="6">
                  <c:v>46121</c:v>
                </c:pt>
                <c:pt idx="7">
                  <c:v>46122</c:v>
                </c:pt>
                <c:pt idx="8">
                  <c:v>46123</c:v>
                </c:pt>
                <c:pt idx="9">
                  <c:v>46124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</c:numCache>
            </c:numRef>
          </c:cat>
          <c:val>
            <c:numRef>
              <c:f>'Sprint 2'!$I$89:$V$89</c:f>
              <c:numCache>
                <c:formatCode>General</c:formatCode>
                <c:ptCount val="14"/>
                <c:pt idx="0">
                  <c:v>172</c:v>
                </c:pt>
                <c:pt idx="1">
                  <c:v>167</c:v>
                </c:pt>
                <c:pt idx="2">
                  <c:v>144</c:v>
                </c:pt>
                <c:pt idx="3">
                  <c:v>132</c:v>
                </c:pt>
                <c:pt idx="4">
                  <c:v>125</c:v>
                </c:pt>
                <c:pt idx="5">
                  <c:v>125</c:v>
                </c:pt>
                <c:pt idx="6">
                  <c:v>113</c:v>
                </c:pt>
                <c:pt idx="7">
                  <c:v>82</c:v>
                </c:pt>
                <c:pt idx="8">
                  <c:v>60</c:v>
                </c:pt>
                <c:pt idx="9">
                  <c:v>42</c:v>
                </c:pt>
                <c:pt idx="10">
                  <c:v>22</c:v>
                </c:pt>
                <c:pt idx="11">
                  <c:v>16</c:v>
                </c:pt>
                <c:pt idx="12">
                  <c:v>10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E1-4813-BC6D-EF62E69C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1101845"/>
        <c:axId val="106666517"/>
      </c:lineChart>
      <c:dateAx>
        <c:axId val="841101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dd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66517"/>
        <c:crosses val="autoZero"/>
        <c:auto val="1"/>
        <c:lblOffset val="100"/>
        <c:baseTimeUnit val="days"/>
      </c:dateAx>
      <c:valAx>
        <c:axId val="10666651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10184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269897816171041"/>
          <c:y val="3.5601026590079757E-2"/>
          <c:w val="8.694503478327345E-2"/>
          <c:h val="0.1069204043507865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aed299-68ca-4be4-b34f-d5123b8dd3b7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Burndown Chart of Sprint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cat>
            <c:numRef>
              <c:f>'Sprint 2'!$I$15:$V$15</c:f>
              <c:numCache>
                <c:formatCode>dd/mm</c:formatCode>
                <c:ptCount val="14"/>
                <c:pt idx="0">
                  <c:v>46115</c:v>
                </c:pt>
                <c:pt idx="1">
                  <c:v>46116</c:v>
                </c:pt>
                <c:pt idx="2">
                  <c:v>46117</c:v>
                </c:pt>
                <c:pt idx="3">
                  <c:v>46118</c:v>
                </c:pt>
                <c:pt idx="4">
                  <c:v>46119</c:v>
                </c:pt>
                <c:pt idx="5">
                  <c:v>46120</c:v>
                </c:pt>
                <c:pt idx="6">
                  <c:v>46121</c:v>
                </c:pt>
                <c:pt idx="7">
                  <c:v>46122</c:v>
                </c:pt>
                <c:pt idx="8">
                  <c:v>46123</c:v>
                </c:pt>
                <c:pt idx="9">
                  <c:v>46124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</c:numCache>
            </c:numRef>
          </c:cat>
          <c:val>
            <c:numRef>
              <c:f>'Sprint 2'!$G$88:$T$88</c:f>
              <c:numCache>
                <c:formatCode>General</c:formatCode>
                <c:ptCount val="14"/>
                <c:pt idx="0">
                  <c:v>194</c:v>
                </c:pt>
                <c:pt idx="2">
                  <c:v>172</c:v>
                </c:pt>
                <c:pt idx="3">
                  <c:v>166</c:v>
                </c:pt>
                <c:pt idx="4">
                  <c:v>145</c:v>
                </c:pt>
                <c:pt idx="5">
                  <c:v>135</c:v>
                </c:pt>
                <c:pt idx="6">
                  <c:v>127</c:v>
                </c:pt>
                <c:pt idx="7">
                  <c:v>125</c:v>
                </c:pt>
                <c:pt idx="8">
                  <c:v>113.5</c:v>
                </c:pt>
                <c:pt idx="9">
                  <c:v>85.5</c:v>
                </c:pt>
                <c:pt idx="10">
                  <c:v>60</c:v>
                </c:pt>
                <c:pt idx="11">
                  <c:v>43</c:v>
                </c:pt>
                <c:pt idx="12">
                  <c:v>23</c:v>
                </c:pt>
                <c:pt idx="1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D7-4933-AD32-4B5E20E1B913}"/>
            </c:ext>
          </c:extLst>
        </c:ser>
        <c:ser>
          <c:idx val="1"/>
          <c:order val="1"/>
          <c:tx>
            <c:v>ước tính</c:v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cat>
            <c:numRef>
              <c:f>'Sprint 2'!$I$15:$V$15</c:f>
              <c:numCache>
                <c:formatCode>dd/mm</c:formatCode>
                <c:ptCount val="14"/>
                <c:pt idx="0">
                  <c:v>46115</c:v>
                </c:pt>
                <c:pt idx="1">
                  <c:v>46116</c:v>
                </c:pt>
                <c:pt idx="2">
                  <c:v>46117</c:v>
                </c:pt>
                <c:pt idx="3">
                  <c:v>46118</c:v>
                </c:pt>
                <c:pt idx="4">
                  <c:v>46119</c:v>
                </c:pt>
                <c:pt idx="5">
                  <c:v>46120</c:v>
                </c:pt>
                <c:pt idx="6">
                  <c:v>46121</c:v>
                </c:pt>
                <c:pt idx="7">
                  <c:v>46122</c:v>
                </c:pt>
                <c:pt idx="8">
                  <c:v>46123</c:v>
                </c:pt>
                <c:pt idx="9">
                  <c:v>46124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</c:numCache>
            </c:numRef>
          </c:cat>
          <c:val>
            <c:numRef>
              <c:f>'Sprint 2'!$G$89:$T$89</c:f>
              <c:numCache>
                <c:formatCode>General</c:formatCode>
                <c:ptCount val="14"/>
                <c:pt idx="0">
                  <c:v>182</c:v>
                </c:pt>
                <c:pt idx="2">
                  <c:v>172</c:v>
                </c:pt>
                <c:pt idx="3">
                  <c:v>167</c:v>
                </c:pt>
                <c:pt idx="4">
                  <c:v>144</c:v>
                </c:pt>
                <c:pt idx="5">
                  <c:v>132</c:v>
                </c:pt>
                <c:pt idx="6">
                  <c:v>125</c:v>
                </c:pt>
                <c:pt idx="7">
                  <c:v>125</c:v>
                </c:pt>
                <c:pt idx="8">
                  <c:v>113</c:v>
                </c:pt>
                <c:pt idx="9">
                  <c:v>82</c:v>
                </c:pt>
                <c:pt idx="10">
                  <c:v>60</c:v>
                </c:pt>
                <c:pt idx="11">
                  <c:v>42</c:v>
                </c:pt>
                <c:pt idx="12">
                  <c:v>22</c:v>
                </c:pt>
                <c:pt idx="1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D7-4933-AD32-4B5E20E1B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3464539"/>
        <c:axId val="1018190564"/>
      </c:lineChart>
      <c:dateAx>
        <c:axId val="20734645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dd/mm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90564"/>
        <c:crosses val="autoZero"/>
        <c:auto val="1"/>
        <c:lblOffset val="100"/>
        <c:baseTimeUnit val="days"/>
      </c:dateAx>
      <c:valAx>
        <c:axId val="101819056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464539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0517b0-8026-4e08-b299-64e6fb180e6c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110818892340779E-2"/>
          <c:y val="9.2567022872140983E-2"/>
          <c:w val="0.81859284743796534"/>
          <c:h val="0.82928805774278214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spPr>
            <a:ln w="19050" cap="rnd" cmpd="sng" algn="ctr">
              <a:solidFill>
                <a:srgbClr val="5B9BD5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3'!$I$15:$AG$15</c:f>
              <c:numCache>
                <c:formatCode>dd/mm</c:formatCode>
                <c:ptCount val="25"/>
                <c:pt idx="0">
                  <c:v>46129</c:v>
                </c:pt>
                <c:pt idx="1">
                  <c:v>46130</c:v>
                </c:pt>
                <c:pt idx="2">
                  <c:v>46131</c:v>
                </c:pt>
                <c:pt idx="3">
                  <c:v>46132</c:v>
                </c:pt>
                <c:pt idx="4">
                  <c:v>46133</c:v>
                </c:pt>
                <c:pt idx="5">
                  <c:v>46134</c:v>
                </c:pt>
                <c:pt idx="6">
                  <c:v>46135</c:v>
                </c:pt>
                <c:pt idx="7">
                  <c:v>46136</c:v>
                </c:pt>
                <c:pt idx="8">
                  <c:v>46137</c:v>
                </c:pt>
                <c:pt idx="9">
                  <c:v>46138</c:v>
                </c:pt>
                <c:pt idx="10">
                  <c:v>46139</c:v>
                </c:pt>
                <c:pt idx="11">
                  <c:v>46140</c:v>
                </c:pt>
                <c:pt idx="12">
                  <c:v>46141</c:v>
                </c:pt>
                <c:pt idx="13">
                  <c:v>46142</c:v>
                </c:pt>
                <c:pt idx="14">
                  <c:v>46143</c:v>
                </c:pt>
                <c:pt idx="15">
                  <c:v>46144</c:v>
                </c:pt>
                <c:pt idx="16">
                  <c:v>46145</c:v>
                </c:pt>
                <c:pt idx="17">
                  <c:v>46146</c:v>
                </c:pt>
                <c:pt idx="18">
                  <c:v>46147</c:v>
                </c:pt>
                <c:pt idx="19">
                  <c:v>46148</c:v>
                </c:pt>
                <c:pt idx="20">
                  <c:v>46149</c:v>
                </c:pt>
                <c:pt idx="21">
                  <c:v>46150</c:v>
                </c:pt>
                <c:pt idx="22">
                  <c:v>46151</c:v>
                </c:pt>
                <c:pt idx="23">
                  <c:v>46152</c:v>
                </c:pt>
                <c:pt idx="24">
                  <c:v>46153</c:v>
                </c:pt>
              </c:numCache>
            </c:numRef>
          </c:cat>
          <c:val>
            <c:numRef>
              <c:f>'Sprint 3'!$I$80:$AG$80</c:f>
              <c:numCache>
                <c:formatCode>General</c:formatCode>
                <c:ptCount val="25"/>
                <c:pt idx="0">
                  <c:v>162</c:v>
                </c:pt>
                <c:pt idx="1">
                  <c:v>151</c:v>
                </c:pt>
                <c:pt idx="2">
                  <c:v>144</c:v>
                </c:pt>
                <c:pt idx="3">
                  <c:v>138</c:v>
                </c:pt>
                <c:pt idx="4">
                  <c:v>135</c:v>
                </c:pt>
                <c:pt idx="5">
                  <c:v>132</c:v>
                </c:pt>
                <c:pt idx="6">
                  <c:v>123</c:v>
                </c:pt>
                <c:pt idx="7">
                  <c:v>116</c:v>
                </c:pt>
                <c:pt idx="8">
                  <c:v>96</c:v>
                </c:pt>
                <c:pt idx="9">
                  <c:v>91</c:v>
                </c:pt>
                <c:pt idx="10">
                  <c:v>73</c:v>
                </c:pt>
                <c:pt idx="11">
                  <c:v>67</c:v>
                </c:pt>
                <c:pt idx="12">
                  <c:v>60.5</c:v>
                </c:pt>
                <c:pt idx="13">
                  <c:v>61</c:v>
                </c:pt>
                <c:pt idx="14">
                  <c:v>50</c:v>
                </c:pt>
                <c:pt idx="15">
                  <c:v>46</c:v>
                </c:pt>
                <c:pt idx="16">
                  <c:v>36</c:v>
                </c:pt>
                <c:pt idx="17">
                  <c:v>34</c:v>
                </c:pt>
                <c:pt idx="18">
                  <c:v>32</c:v>
                </c:pt>
                <c:pt idx="19">
                  <c:v>29</c:v>
                </c:pt>
                <c:pt idx="20">
                  <c:v>15</c:v>
                </c:pt>
                <c:pt idx="21">
                  <c:v>14</c:v>
                </c:pt>
                <c:pt idx="22">
                  <c:v>11</c:v>
                </c:pt>
                <c:pt idx="23">
                  <c:v>5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5E-445C-A48D-C1CC4C07A562}"/>
            </c:ext>
          </c:extLst>
        </c:ser>
        <c:ser>
          <c:idx val="1"/>
          <c:order val="1"/>
          <c:tx>
            <c:v>Ước tính</c:v>
          </c:tx>
          <c:spPr>
            <a:ln w="19050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cat>
            <c:numRef>
              <c:f>'Sprint 3'!$I$15:$AG$15</c:f>
              <c:numCache>
                <c:formatCode>dd/mm</c:formatCode>
                <c:ptCount val="25"/>
                <c:pt idx="0">
                  <c:v>46129</c:v>
                </c:pt>
                <c:pt idx="1">
                  <c:v>46130</c:v>
                </c:pt>
                <c:pt idx="2">
                  <c:v>46131</c:v>
                </c:pt>
                <c:pt idx="3">
                  <c:v>46132</c:v>
                </c:pt>
                <c:pt idx="4">
                  <c:v>46133</c:v>
                </c:pt>
                <c:pt idx="5">
                  <c:v>46134</c:v>
                </c:pt>
                <c:pt idx="6">
                  <c:v>46135</c:v>
                </c:pt>
                <c:pt idx="7">
                  <c:v>46136</c:v>
                </c:pt>
                <c:pt idx="8">
                  <c:v>46137</c:v>
                </c:pt>
                <c:pt idx="9">
                  <c:v>46138</c:v>
                </c:pt>
                <c:pt idx="10">
                  <c:v>46139</c:v>
                </c:pt>
                <c:pt idx="11">
                  <c:v>46140</c:v>
                </c:pt>
                <c:pt idx="12">
                  <c:v>46141</c:v>
                </c:pt>
                <c:pt idx="13">
                  <c:v>46142</c:v>
                </c:pt>
                <c:pt idx="14">
                  <c:v>46143</c:v>
                </c:pt>
                <c:pt idx="15">
                  <c:v>46144</c:v>
                </c:pt>
                <c:pt idx="16">
                  <c:v>46145</c:v>
                </c:pt>
                <c:pt idx="17">
                  <c:v>46146</c:v>
                </c:pt>
                <c:pt idx="18">
                  <c:v>46147</c:v>
                </c:pt>
                <c:pt idx="19">
                  <c:v>46148</c:v>
                </c:pt>
                <c:pt idx="20">
                  <c:v>46149</c:v>
                </c:pt>
                <c:pt idx="21">
                  <c:v>46150</c:v>
                </c:pt>
                <c:pt idx="22">
                  <c:v>46151</c:v>
                </c:pt>
                <c:pt idx="23">
                  <c:v>46152</c:v>
                </c:pt>
                <c:pt idx="24">
                  <c:v>46153</c:v>
                </c:pt>
              </c:numCache>
            </c:numRef>
          </c:cat>
          <c:val>
            <c:numRef>
              <c:f>'Sprint 3'!$I$81:$AG$81</c:f>
              <c:numCache>
                <c:formatCode>General</c:formatCode>
                <c:ptCount val="25"/>
                <c:pt idx="0">
                  <c:v>162</c:v>
                </c:pt>
                <c:pt idx="1">
                  <c:v>152</c:v>
                </c:pt>
                <c:pt idx="2">
                  <c:v>146</c:v>
                </c:pt>
                <c:pt idx="3">
                  <c:v>138</c:v>
                </c:pt>
                <c:pt idx="4">
                  <c:v>134</c:v>
                </c:pt>
                <c:pt idx="5">
                  <c:v>130</c:v>
                </c:pt>
                <c:pt idx="6">
                  <c:v>123</c:v>
                </c:pt>
                <c:pt idx="7">
                  <c:v>116</c:v>
                </c:pt>
                <c:pt idx="8">
                  <c:v>95</c:v>
                </c:pt>
                <c:pt idx="9">
                  <c:v>91</c:v>
                </c:pt>
                <c:pt idx="10">
                  <c:v>73</c:v>
                </c:pt>
                <c:pt idx="11">
                  <c:v>64</c:v>
                </c:pt>
                <c:pt idx="12">
                  <c:v>60</c:v>
                </c:pt>
                <c:pt idx="13">
                  <c:v>56</c:v>
                </c:pt>
                <c:pt idx="14">
                  <c:v>46</c:v>
                </c:pt>
                <c:pt idx="15">
                  <c:v>46</c:v>
                </c:pt>
                <c:pt idx="16">
                  <c:v>36</c:v>
                </c:pt>
                <c:pt idx="17">
                  <c:v>34</c:v>
                </c:pt>
                <c:pt idx="18">
                  <c:v>32</c:v>
                </c:pt>
                <c:pt idx="19">
                  <c:v>24</c:v>
                </c:pt>
                <c:pt idx="20">
                  <c:v>14</c:v>
                </c:pt>
                <c:pt idx="21">
                  <c:v>12</c:v>
                </c:pt>
                <c:pt idx="22">
                  <c:v>10</c:v>
                </c:pt>
                <c:pt idx="23">
                  <c:v>5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5E-445C-A48D-C1CC4C07A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3574477"/>
        <c:axId val="672127903"/>
      </c:lineChart>
      <c:dateAx>
        <c:axId val="483574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dd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127903"/>
        <c:crosses val="autoZero"/>
        <c:auto val="1"/>
        <c:lblOffset val="100"/>
        <c:baseTimeUnit val="days"/>
      </c:dateAx>
      <c:valAx>
        <c:axId val="67212790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574477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61adb6-4bf5-40a1-8dc4-9abc069cef94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4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Burndown Chart of Sprint 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cat>
            <c:numRef>
              <c:f>'Sprint 3'!$I$15:$T$15</c:f>
              <c:numCache>
                <c:formatCode>dd/mm</c:formatCode>
                <c:ptCount val="12"/>
                <c:pt idx="0">
                  <c:v>46129</c:v>
                </c:pt>
                <c:pt idx="1">
                  <c:v>46130</c:v>
                </c:pt>
                <c:pt idx="2">
                  <c:v>46131</c:v>
                </c:pt>
                <c:pt idx="3">
                  <c:v>46132</c:v>
                </c:pt>
                <c:pt idx="4">
                  <c:v>46133</c:v>
                </c:pt>
                <c:pt idx="5">
                  <c:v>46134</c:v>
                </c:pt>
                <c:pt idx="6">
                  <c:v>46135</c:v>
                </c:pt>
                <c:pt idx="7">
                  <c:v>46136</c:v>
                </c:pt>
                <c:pt idx="8">
                  <c:v>46137</c:v>
                </c:pt>
                <c:pt idx="9">
                  <c:v>46138</c:v>
                </c:pt>
                <c:pt idx="10">
                  <c:v>46139</c:v>
                </c:pt>
                <c:pt idx="11">
                  <c:v>46140</c:v>
                </c:pt>
              </c:numCache>
            </c:numRef>
          </c:cat>
          <c:val>
            <c:numRef>
              <c:f>'Sprint 3'!$G$80:$T$80</c:f>
              <c:numCache>
                <c:formatCode>General</c:formatCode>
                <c:ptCount val="14"/>
                <c:pt idx="0">
                  <c:v>191.5</c:v>
                </c:pt>
                <c:pt idx="2">
                  <c:v>162</c:v>
                </c:pt>
                <c:pt idx="3">
                  <c:v>151</c:v>
                </c:pt>
                <c:pt idx="4">
                  <c:v>144</c:v>
                </c:pt>
                <c:pt idx="5">
                  <c:v>138</c:v>
                </c:pt>
                <c:pt idx="6">
                  <c:v>135</c:v>
                </c:pt>
                <c:pt idx="7">
                  <c:v>132</c:v>
                </c:pt>
                <c:pt idx="8">
                  <c:v>123</c:v>
                </c:pt>
                <c:pt idx="9">
                  <c:v>116</c:v>
                </c:pt>
                <c:pt idx="10">
                  <c:v>96</c:v>
                </c:pt>
                <c:pt idx="11">
                  <c:v>91</c:v>
                </c:pt>
                <c:pt idx="12">
                  <c:v>73</c:v>
                </c:pt>
                <c:pt idx="13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7F-4295-9044-9CDB4A55E98E}"/>
            </c:ext>
          </c:extLst>
        </c:ser>
        <c:ser>
          <c:idx val="1"/>
          <c:order val="1"/>
          <c:tx>
            <c:v>ước tính</c:v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cat>
            <c:numRef>
              <c:f>'Sprint 3'!$I$15:$T$15</c:f>
              <c:numCache>
                <c:formatCode>dd/mm</c:formatCode>
                <c:ptCount val="12"/>
                <c:pt idx="0">
                  <c:v>46129</c:v>
                </c:pt>
                <c:pt idx="1">
                  <c:v>46130</c:v>
                </c:pt>
                <c:pt idx="2">
                  <c:v>46131</c:v>
                </c:pt>
                <c:pt idx="3">
                  <c:v>46132</c:v>
                </c:pt>
                <c:pt idx="4">
                  <c:v>46133</c:v>
                </c:pt>
                <c:pt idx="5">
                  <c:v>46134</c:v>
                </c:pt>
                <c:pt idx="6">
                  <c:v>46135</c:v>
                </c:pt>
                <c:pt idx="7">
                  <c:v>46136</c:v>
                </c:pt>
                <c:pt idx="8">
                  <c:v>46137</c:v>
                </c:pt>
                <c:pt idx="9">
                  <c:v>46138</c:v>
                </c:pt>
                <c:pt idx="10">
                  <c:v>46139</c:v>
                </c:pt>
                <c:pt idx="11">
                  <c:v>46140</c:v>
                </c:pt>
              </c:numCache>
            </c:numRef>
          </c:cat>
          <c:val>
            <c:numRef>
              <c:f>'Sprint 3'!$G$81:$T$81</c:f>
              <c:numCache>
                <c:formatCode>General</c:formatCode>
                <c:ptCount val="14"/>
                <c:pt idx="0">
                  <c:v>172</c:v>
                </c:pt>
                <c:pt idx="2">
                  <c:v>162</c:v>
                </c:pt>
                <c:pt idx="3">
                  <c:v>152</c:v>
                </c:pt>
                <c:pt idx="4">
                  <c:v>146</c:v>
                </c:pt>
                <c:pt idx="5">
                  <c:v>138</c:v>
                </c:pt>
                <c:pt idx="6">
                  <c:v>134</c:v>
                </c:pt>
                <c:pt idx="7">
                  <c:v>130</c:v>
                </c:pt>
                <c:pt idx="8">
                  <c:v>123</c:v>
                </c:pt>
                <c:pt idx="9">
                  <c:v>116</c:v>
                </c:pt>
                <c:pt idx="10">
                  <c:v>95</c:v>
                </c:pt>
                <c:pt idx="11">
                  <c:v>91</c:v>
                </c:pt>
                <c:pt idx="12">
                  <c:v>73</c:v>
                </c:pt>
                <c:pt idx="13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7F-4295-9044-9CDB4A55E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052112"/>
        <c:axId val="33055360"/>
      </c:lineChart>
      <c:dateAx>
        <c:axId val="1629052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dd/mm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5360"/>
        <c:crosses val="autoZero"/>
        <c:auto val="1"/>
        <c:lblOffset val="100"/>
        <c:baseTimeUnit val="days"/>
      </c:dateAx>
      <c:valAx>
        <c:axId val="3305536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52112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d63de7-f677-4e26-813e-9d13de8b7afd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266065</xdr:colOff>
      <xdr:row>98</xdr:row>
      <xdr:rowOff>20320</xdr:rowOff>
    </xdr:from>
    <xdr:ext cx="11706225" cy="6657975"/>
    <xdr:graphicFrame macro="">
      <xdr:nvGraphicFramePr>
        <xdr:cNvPr id="1270589362" name="Chart 1">
          <a:extLst>
            <a:ext uri="{FF2B5EF4-FFF2-40B4-BE49-F238E27FC236}">
              <a16:creationId xmlns:a16="http://schemas.microsoft.com/office/drawing/2014/main" id="{00000000-0008-0000-0000-0000B2A7B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880202</xdr:colOff>
      <xdr:row>99</xdr:row>
      <xdr:rowOff>159838</xdr:rowOff>
    </xdr:from>
    <xdr:ext cx="4600575" cy="2809875"/>
    <xdr:graphicFrame macro="">
      <xdr:nvGraphicFramePr>
        <xdr:cNvPr id="1678059549" name="Chart 2">
          <a:extLst>
            <a:ext uri="{FF2B5EF4-FFF2-40B4-BE49-F238E27FC236}">
              <a16:creationId xmlns:a16="http://schemas.microsoft.com/office/drawing/2014/main" id="{00000000-0008-0000-0000-00001D280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361950</xdr:colOff>
      <xdr:row>92</xdr:row>
      <xdr:rowOff>9525</xdr:rowOff>
    </xdr:from>
    <xdr:ext cx="9810750" cy="4295775"/>
    <xdr:graphicFrame macro="">
      <xdr:nvGraphicFramePr>
        <xdr:cNvPr id="168380207" name="Chart 3">
          <a:extLst>
            <a:ext uri="{FF2B5EF4-FFF2-40B4-BE49-F238E27FC236}">
              <a16:creationId xmlns:a16="http://schemas.microsoft.com/office/drawing/2014/main" id="{00000000-0008-0000-0100-00002F470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81643</xdr:colOff>
      <xdr:row>92</xdr:row>
      <xdr:rowOff>102054</xdr:rowOff>
    </xdr:from>
    <xdr:ext cx="3171825" cy="2400300"/>
    <xdr:graphicFrame macro="">
      <xdr:nvGraphicFramePr>
        <xdr:cNvPr id="340221418" name="Chart 4">
          <a:extLst>
            <a:ext uri="{FF2B5EF4-FFF2-40B4-BE49-F238E27FC236}">
              <a16:creationId xmlns:a16="http://schemas.microsoft.com/office/drawing/2014/main" id="{00000000-0008-0000-0100-0000EA5D4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1382806</xdr:colOff>
      <xdr:row>87</xdr:row>
      <xdr:rowOff>170889</xdr:rowOff>
    </xdr:from>
    <xdr:ext cx="11320822" cy="4956282"/>
    <xdr:graphicFrame macro="">
      <xdr:nvGraphicFramePr>
        <xdr:cNvPr id="1610225151" name="Chart 5">
          <a:extLst>
            <a:ext uri="{FF2B5EF4-FFF2-40B4-BE49-F238E27FC236}">
              <a16:creationId xmlns:a16="http://schemas.microsoft.com/office/drawing/2014/main" id="{00000000-0008-0000-0200-0000FF15F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16</xdr:col>
      <xdr:colOff>45945</xdr:colOff>
      <xdr:row>87</xdr:row>
      <xdr:rowOff>126069</xdr:rowOff>
    </xdr:from>
    <xdr:ext cx="3046878" cy="2025462"/>
    <xdr:graphicFrame macro="">
      <xdr:nvGraphicFramePr>
        <xdr:cNvPr id="1933572856" name="Chart 6">
          <a:extLst>
            <a:ext uri="{FF2B5EF4-FFF2-40B4-BE49-F238E27FC236}">
              <a16:creationId xmlns:a16="http://schemas.microsoft.com/office/drawing/2014/main" id="{00000000-0008-0000-0200-0000F8FA3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41"/>
  <sheetViews>
    <sheetView topLeftCell="A53" zoomScale="85" zoomScaleNormal="85" workbookViewId="0">
      <selection activeCell="H60" sqref="H60"/>
    </sheetView>
  </sheetViews>
  <sheetFormatPr defaultColWidth="14.42578125" defaultRowHeight="15" customHeight="1"/>
  <cols>
    <col min="1" max="1" width="16" customWidth="1"/>
    <col min="2" max="2" width="20.28515625" customWidth="1"/>
    <col min="3" max="3" width="55.42578125" customWidth="1"/>
    <col min="4" max="5" width="11" customWidth="1"/>
    <col min="6" max="6" width="20.5703125" customWidth="1"/>
    <col min="7" max="8" width="6.140625" customWidth="1"/>
    <col min="9" max="9" width="6" customWidth="1"/>
    <col min="10" max="13" width="6.140625" customWidth="1"/>
    <col min="14" max="14" width="6" customWidth="1"/>
    <col min="15" max="15" width="6.140625" customWidth="1"/>
    <col min="16" max="20" width="6" customWidth="1"/>
    <col min="21" max="23" width="6.140625" customWidth="1"/>
    <col min="24" max="24" width="6" customWidth="1"/>
    <col min="25" max="25" width="6.140625" customWidth="1"/>
    <col min="26" max="26" width="6" customWidth="1"/>
    <col min="27" max="27" width="5.85546875" customWidth="1"/>
    <col min="28" max="28" width="6.140625" customWidth="1"/>
    <col min="29" max="31" width="6" customWidth="1"/>
    <col min="32" max="32" width="6.42578125" customWidth="1"/>
  </cols>
  <sheetData>
    <row r="1" spans="1:32" ht="35.1" customHeight="1">
      <c r="A1" s="56" t="s">
        <v>0</v>
      </c>
      <c r="B1" s="57"/>
      <c r="C1" s="40" t="s">
        <v>1</v>
      </c>
      <c r="D1" s="13"/>
      <c r="E1" s="41"/>
      <c r="F1" s="42" t="s">
        <v>2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 spans="1:32" ht="17.649999999999999" customHeight="1">
      <c r="A2" s="56" t="s">
        <v>3</v>
      </c>
      <c r="B2" s="57"/>
      <c r="C2" s="16" t="s">
        <v>4</v>
      </c>
      <c r="D2" s="13"/>
      <c r="E2" s="14"/>
      <c r="F2" s="15" t="s">
        <v>5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ht="16.5" customHeight="1">
      <c r="A3" s="56" t="s">
        <v>6</v>
      </c>
      <c r="B3" s="57"/>
      <c r="C3" s="19">
        <v>46103</v>
      </c>
      <c r="D3" s="13"/>
      <c r="E3" s="17"/>
      <c r="F3" s="18" t="s">
        <v>7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ht="17.25" customHeight="1">
      <c r="A4" s="56" t="s">
        <v>8</v>
      </c>
      <c r="B4" s="57"/>
      <c r="C4" s="19">
        <v>46126</v>
      </c>
      <c r="D4" s="13"/>
      <c r="E4" s="20"/>
      <c r="F4" s="21" t="s">
        <v>2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2" ht="16.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2" ht="16.5" customHeight="1">
      <c r="A6" s="13"/>
      <c r="B6" s="58" t="s">
        <v>9</v>
      </c>
      <c r="C6" s="59"/>
      <c r="D6" s="59"/>
      <c r="E6" s="57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2" ht="16.5" customHeight="1" thickBot="1">
      <c r="A7" s="13"/>
      <c r="B7" s="22" t="s">
        <v>10</v>
      </c>
      <c r="C7" s="22" t="s">
        <v>11</v>
      </c>
      <c r="D7" s="22" t="s">
        <v>12</v>
      </c>
      <c r="E7" s="22" t="s">
        <v>13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2" ht="16.5" customHeight="1" thickBot="1">
      <c r="A8" s="13"/>
      <c r="B8" s="23">
        <v>1</v>
      </c>
      <c r="C8" s="16" t="s">
        <v>14</v>
      </c>
      <c r="D8" s="43">
        <f ca="1">SUMIF($E$16:$F$84,"Bảo",$G$16:$G$84)+SUMIF($E$16:$F$84,"All team",$G$16:$G$84)/5+SUMIF($E$16:$F$84,"Bảo,Quân",$G$16:$G$84)/2+SUMIF($E$16:$F$84,"Bảo,Trung",$G$16:$G$84)/2</f>
        <v>37.5</v>
      </c>
      <c r="E8" s="16">
        <f ca="1">SUMIF($E$16:$F$84,"Bảo",$H$16:$H$84)+SUMIF($E$16:$F$84,"All team",$H$16:$H$84)/5+SUMIF($E$16:$F$84,"Bảo,Quân",$H$16:$H$84)/2+SUMIF($E$16:$F$84,"Bảo,Trung",$H$16:$H$84)/2</f>
        <v>41.2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2" ht="16.5" customHeight="1" thickBot="1">
      <c r="A9" s="13"/>
      <c r="B9" s="23">
        <v>2</v>
      </c>
      <c r="C9" s="16" t="s">
        <v>15</v>
      </c>
      <c r="D9" s="16">
        <f ca="1">SUMIF($E$16:$F$84,"Quân",$G$16:$G$84)+SUMIF($E$16:$F$84,"All team",$G$16:$G$84)/5+SUMIF($E$16:$F$84,"Bảo,Quân",$G$16:$G$84)/2+SUMIF($E$16:$F$84,"Quân,Trung",$G$16:$G$84)/2</f>
        <v>30.5</v>
      </c>
      <c r="E9" s="16">
        <f ca="1">SUMIF($E$16:$F$84,"Quân",$H$16:$H$84)+SUMIF($E$16:$F$84,"All team",$H$16:$H$84)/5+SUMIF($E$16:$F$84,"Bảo,Quân",$H$16:$H$84)/2+SUMIF($E$16:$F$84,"Quân,Trung",$H$16:$H$84)/2</f>
        <v>30.2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spans="1:32" ht="16.5" customHeight="1" thickBot="1">
      <c r="A10" s="13"/>
      <c r="B10" s="23">
        <v>3</v>
      </c>
      <c r="C10" s="16" t="s">
        <v>16</v>
      </c>
      <c r="D10" s="16">
        <f ca="1">SUMIF($E$16:$F$84,"Trung",$G$16:$G$84)+SUMIF($E$16:$F$84,"All team",$G$16:$G$84)/5+SUMIF($E$16:$F$84,"Bảo,Trung",$G$16:$G$84)/2+SUMIF($E$16:$F$84,"Quân,Trung",$G$16:$G$84)/2</f>
        <v>34.5</v>
      </c>
      <c r="E10" s="16">
        <f ca="1">SUMIF($E$16:$F$84,"Trung",$H$16:$H$84)+SUMIF($E$16:$F$84,"All team",$H$16:$H$84)/5+SUMIF($E$16:$F$84,"Bảo,Trung",$H$16:$H$84)/2+SUMIF($E$16:$F$84,"Quân,Trung",$H$16:$H$84)/2</f>
        <v>36.200000000000003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spans="1:32" ht="16.5" customHeight="1" thickBot="1">
      <c r="A11" s="13"/>
      <c r="B11" s="23">
        <v>4</v>
      </c>
      <c r="C11" s="16" t="s">
        <v>17</v>
      </c>
      <c r="D11" s="16">
        <f ca="1">SUMIF($E$16:$F$84,"Hà",$G$16:$G$84)+SUMIF($E$16:$F$84,"All team",$G$16:$G$84)/5+SUMIF($E$16:$F$84,"Hà,Luân",$G$16:$G$84)/2</f>
        <v>33.5</v>
      </c>
      <c r="E11" s="16">
        <f ca="1">SUMIF($E$16:$F$84,"Hà",$H$16:$H$84)+SUMIF($E$16:$F$84,"All team",$H$16:$H$84)/5+SUMIF($E$16:$F$84,"Hà,Luân",$H$16:$H$84)/2</f>
        <v>37.200000000000003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spans="1:32" ht="16.5" customHeight="1" thickBot="1">
      <c r="A12" s="13"/>
      <c r="B12" s="23">
        <v>5</v>
      </c>
      <c r="C12" s="16" t="s">
        <v>18</v>
      </c>
      <c r="D12" s="16">
        <f ca="1">SUMIF($E$16:$F$84,"Luân",$G$16:$G$84)+SUMIF($E$16:$F$84,"All team",$G$16:$G$84)/5+SUMIF($E$16:$F$84,"Hà,Luân",$G$16:$G$84)/2</f>
        <v>28</v>
      </c>
      <c r="E12" s="16">
        <f ca="1">SUMIF($E$16:$F$84,"Luân",$H$16:$H$84)+SUMIF($E$16:$F$84,"All team",$H$16:$H$84)/5+SUMIF($E$16:$F$84,"Hà,Luân",$H$16:$H$84)/2</f>
        <v>28.2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 spans="1:32" ht="16.5" customHeight="1" thickBot="1">
      <c r="A13" s="13"/>
      <c r="B13" s="58" t="s">
        <v>19</v>
      </c>
      <c r="C13" s="57"/>
      <c r="D13" s="24">
        <f t="shared" ref="D13" ca="1" si="0">SUM(D8:D12)</f>
        <v>164</v>
      </c>
      <c r="E13" s="24">
        <f ca="1">SUM(E8:E12)</f>
        <v>173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spans="1:32" ht="16.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spans="1:32" ht="62.25" customHeight="1">
      <c r="A15" s="25" t="s">
        <v>20</v>
      </c>
      <c r="B15" s="25" t="s">
        <v>21</v>
      </c>
      <c r="C15" s="60" t="s">
        <v>22</v>
      </c>
      <c r="D15" s="61"/>
      <c r="E15" s="60" t="s">
        <v>23</v>
      </c>
      <c r="F15" s="61"/>
      <c r="G15" s="45" t="s">
        <v>12</v>
      </c>
      <c r="H15" s="45" t="s">
        <v>13</v>
      </c>
      <c r="I15" s="46">
        <v>46100</v>
      </c>
      <c r="J15" s="46">
        <v>46101</v>
      </c>
      <c r="K15" s="46">
        <v>46102</v>
      </c>
      <c r="L15" s="46">
        <v>46103</v>
      </c>
      <c r="M15" s="46">
        <v>46104</v>
      </c>
      <c r="N15" s="46">
        <v>46105</v>
      </c>
      <c r="O15" s="46">
        <v>46106</v>
      </c>
      <c r="P15" s="46">
        <v>46107</v>
      </c>
      <c r="Q15" s="46">
        <v>46108</v>
      </c>
      <c r="R15" s="46">
        <v>46109</v>
      </c>
      <c r="S15" s="46">
        <v>46110</v>
      </c>
      <c r="T15" s="46">
        <v>46111</v>
      </c>
      <c r="U15" s="46">
        <v>46112</v>
      </c>
      <c r="V15" s="46">
        <v>46113</v>
      </c>
      <c r="W15" s="46">
        <v>46114</v>
      </c>
      <c r="X15" s="13"/>
      <c r="Y15" s="13"/>
      <c r="Z15" s="13"/>
      <c r="AA15" s="13"/>
      <c r="AB15" s="13"/>
      <c r="AC15" s="13"/>
      <c r="AD15" s="13"/>
      <c r="AE15" s="13"/>
      <c r="AF15" s="13"/>
    </row>
    <row r="16" spans="1:32" ht="16.5" customHeight="1">
      <c r="A16" s="77" t="s">
        <v>4</v>
      </c>
      <c r="B16" s="62" t="s">
        <v>24</v>
      </c>
      <c r="C16" s="63"/>
      <c r="D16" s="61"/>
      <c r="E16" s="64" t="s">
        <v>25</v>
      </c>
      <c r="F16" s="63"/>
      <c r="G16" s="47">
        <v>8</v>
      </c>
      <c r="H16" s="47">
        <v>8</v>
      </c>
      <c r="I16" s="54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13"/>
      <c r="Y16" s="13"/>
      <c r="Z16" s="13"/>
      <c r="AA16" s="13"/>
      <c r="AB16" s="13"/>
      <c r="AC16" s="13"/>
      <c r="AD16" s="13"/>
      <c r="AE16" s="13"/>
      <c r="AF16" s="13"/>
    </row>
    <row r="17" spans="1:32" ht="16.5" customHeight="1">
      <c r="A17" s="78"/>
      <c r="B17" s="62" t="s">
        <v>26</v>
      </c>
      <c r="C17" s="63"/>
      <c r="D17" s="61"/>
      <c r="E17" s="64" t="s">
        <v>27</v>
      </c>
      <c r="F17" s="63"/>
      <c r="G17" s="47">
        <v>12</v>
      </c>
      <c r="H17" s="47">
        <v>12</v>
      </c>
      <c r="I17" s="47">
        <v>12</v>
      </c>
      <c r="J17" s="54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13"/>
      <c r="Y17" s="13"/>
      <c r="Z17" s="13"/>
      <c r="AA17" s="13"/>
      <c r="AB17" s="13"/>
      <c r="AC17" s="13"/>
      <c r="AD17" s="13"/>
      <c r="AE17" s="13"/>
      <c r="AF17" s="13"/>
    </row>
    <row r="18" spans="1:32" ht="16.5" customHeight="1">
      <c r="A18" s="78"/>
      <c r="B18" s="62" t="s">
        <v>28</v>
      </c>
      <c r="C18" s="63"/>
      <c r="D18" s="61"/>
      <c r="E18" s="64" t="s">
        <v>29</v>
      </c>
      <c r="F18" s="63"/>
      <c r="G18" s="47">
        <v>10</v>
      </c>
      <c r="H18" s="47">
        <v>10</v>
      </c>
      <c r="I18" s="47">
        <v>10</v>
      </c>
      <c r="J18" s="54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13"/>
      <c r="Y18" s="13"/>
      <c r="Z18" s="13"/>
      <c r="AA18" s="13"/>
      <c r="AB18" s="13"/>
      <c r="AC18" s="13"/>
      <c r="AD18" s="13"/>
      <c r="AE18" s="13"/>
      <c r="AF18" s="13"/>
    </row>
    <row r="19" spans="1:32" ht="15.75" customHeight="1">
      <c r="A19" s="78"/>
      <c r="B19" s="77" t="s">
        <v>30</v>
      </c>
      <c r="C19" s="62" t="s">
        <v>31</v>
      </c>
      <c r="D19" s="61"/>
      <c r="E19" s="64" t="s">
        <v>32</v>
      </c>
      <c r="F19" s="63"/>
      <c r="G19" s="47">
        <v>0.5</v>
      </c>
      <c r="H19" s="47">
        <v>1</v>
      </c>
      <c r="I19" s="47">
        <v>1</v>
      </c>
      <c r="J19" s="47">
        <v>0.5</v>
      </c>
      <c r="K19" s="54">
        <v>0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13"/>
      <c r="Y19" s="13"/>
      <c r="Z19" s="13"/>
      <c r="AA19" s="13"/>
      <c r="AB19" s="13"/>
      <c r="AC19" s="13"/>
      <c r="AD19" s="13"/>
      <c r="AE19" s="13"/>
      <c r="AF19" s="13"/>
    </row>
    <row r="20" spans="1:32" ht="16.5" customHeight="1">
      <c r="A20" s="78"/>
      <c r="B20" s="78"/>
      <c r="C20" s="62"/>
      <c r="D20" s="61"/>
      <c r="E20" s="64"/>
      <c r="F20" s="63"/>
      <c r="G20" s="47"/>
      <c r="H20" s="47"/>
      <c r="I20" s="47"/>
      <c r="J20" s="47"/>
      <c r="K20" s="44">
        <v>0.5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13"/>
      <c r="Y20" s="13"/>
      <c r="Z20" s="13"/>
      <c r="AA20" s="13"/>
      <c r="AB20" s="13"/>
      <c r="AC20" s="13"/>
      <c r="AD20" s="13"/>
      <c r="AE20" s="13"/>
      <c r="AF20" s="13"/>
    </row>
    <row r="21" spans="1:32" ht="16.5" customHeight="1">
      <c r="A21" s="78"/>
      <c r="B21" s="78"/>
      <c r="C21" s="62" t="s">
        <v>33</v>
      </c>
      <c r="D21" s="61"/>
      <c r="E21" s="64" t="s">
        <v>32</v>
      </c>
      <c r="F21" s="63"/>
      <c r="G21" s="47">
        <v>1</v>
      </c>
      <c r="H21" s="47">
        <v>1</v>
      </c>
      <c r="I21" s="47">
        <v>1</v>
      </c>
      <c r="J21" s="47">
        <v>1</v>
      </c>
      <c r="K21" s="54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13"/>
      <c r="Y21" s="13"/>
      <c r="Z21" s="13"/>
      <c r="AA21" s="13"/>
      <c r="AB21" s="13"/>
      <c r="AC21" s="13"/>
      <c r="AD21" s="13"/>
      <c r="AE21" s="13"/>
      <c r="AF21" s="13"/>
    </row>
    <row r="22" spans="1:32" ht="16.5" customHeight="1">
      <c r="A22" s="78"/>
      <c r="B22" s="78"/>
      <c r="C22" s="62" t="s">
        <v>34</v>
      </c>
      <c r="D22" s="61"/>
      <c r="E22" s="64" t="s">
        <v>35</v>
      </c>
      <c r="F22" s="63"/>
      <c r="G22" s="47">
        <v>1</v>
      </c>
      <c r="H22" s="47">
        <v>1</v>
      </c>
      <c r="I22" s="47">
        <v>1</v>
      </c>
      <c r="J22" s="47">
        <v>1</v>
      </c>
      <c r="K22" s="54">
        <v>0</v>
      </c>
      <c r="L22" s="47">
        <v>0</v>
      </c>
      <c r="M22" s="47"/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13"/>
      <c r="Y22" s="13"/>
      <c r="Z22" s="13"/>
      <c r="AA22" s="13"/>
      <c r="AB22" s="13"/>
      <c r="AC22" s="13"/>
      <c r="AD22" s="13"/>
      <c r="AE22" s="13"/>
      <c r="AF22" s="13"/>
    </row>
    <row r="23" spans="1:32" ht="16.5" customHeight="1">
      <c r="A23" s="78"/>
      <c r="B23" s="78"/>
      <c r="C23" s="62" t="s">
        <v>36</v>
      </c>
      <c r="D23" s="65"/>
      <c r="E23" s="64" t="s">
        <v>35</v>
      </c>
      <c r="F23" s="63"/>
      <c r="G23" s="47">
        <v>1</v>
      </c>
      <c r="H23" s="47">
        <v>1</v>
      </c>
      <c r="I23" s="47">
        <v>1</v>
      </c>
      <c r="J23" s="47">
        <v>1</v>
      </c>
      <c r="K23" s="54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13"/>
      <c r="Y23" s="13"/>
      <c r="Z23" s="13"/>
      <c r="AA23" s="13"/>
      <c r="AB23" s="13"/>
      <c r="AC23" s="13"/>
      <c r="AD23" s="13"/>
      <c r="AE23" s="13"/>
      <c r="AF23" s="13"/>
    </row>
    <row r="24" spans="1:32" ht="16.5" customHeight="1">
      <c r="A24" s="78"/>
      <c r="B24" s="78"/>
      <c r="C24" s="62" t="s">
        <v>37</v>
      </c>
      <c r="D24" s="61"/>
      <c r="E24" s="64" t="s">
        <v>38</v>
      </c>
      <c r="F24" s="63"/>
      <c r="G24" s="47">
        <v>1</v>
      </c>
      <c r="H24" s="47">
        <v>1</v>
      </c>
      <c r="I24" s="47">
        <v>1</v>
      </c>
      <c r="J24" s="47">
        <v>1</v>
      </c>
      <c r="K24" s="54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 ht="16.5" customHeight="1">
      <c r="A25" s="78"/>
      <c r="B25" s="78"/>
      <c r="C25" s="62" t="s">
        <v>39</v>
      </c>
      <c r="D25" s="61"/>
      <c r="E25" s="64" t="s">
        <v>40</v>
      </c>
      <c r="F25" s="63"/>
      <c r="G25" s="47">
        <v>1</v>
      </c>
      <c r="H25" s="47">
        <v>2</v>
      </c>
      <c r="I25" s="47">
        <v>2</v>
      </c>
      <c r="J25" s="47">
        <v>1</v>
      </c>
      <c r="K25" s="54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13"/>
      <c r="Y25" s="13"/>
      <c r="Z25" s="13"/>
      <c r="AA25" s="13"/>
      <c r="AB25" s="13"/>
      <c r="AC25" s="13"/>
      <c r="AD25" s="13"/>
      <c r="AE25" s="13"/>
      <c r="AF25" s="13"/>
    </row>
    <row r="26" spans="1:32" ht="16.5" customHeight="1">
      <c r="A26" s="78"/>
      <c r="B26" s="78"/>
      <c r="C26" s="64"/>
      <c r="D26" s="66"/>
      <c r="E26" s="64"/>
      <c r="F26" s="67"/>
      <c r="G26" s="47"/>
      <c r="H26" s="47"/>
      <c r="I26" s="47"/>
      <c r="J26" s="47"/>
      <c r="K26" s="44">
        <v>1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32" ht="16.5" customHeight="1">
      <c r="A27" s="78"/>
      <c r="B27" s="78"/>
      <c r="C27" s="62" t="s">
        <v>41</v>
      </c>
      <c r="D27" s="61"/>
      <c r="E27" s="64" t="s">
        <v>38</v>
      </c>
      <c r="F27" s="67"/>
      <c r="G27" s="47">
        <v>2</v>
      </c>
      <c r="H27" s="47">
        <v>2</v>
      </c>
      <c r="I27" s="47">
        <v>2</v>
      </c>
      <c r="J27" s="47">
        <v>2</v>
      </c>
      <c r="K27" s="54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13"/>
      <c r="Y27" s="13"/>
      <c r="Z27" s="13"/>
      <c r="AA27" s="13"/>
      <c r="AB27" s="13"/>
      <c r="AC27" s="13"/>
      <c r="AD27" s="13"/>
      <c r="AE27" s="13"/>
      <c r="AF27" s="13"/>
    </row>
    <row r="28" spans="1:32" ht="16.5" customHeight="1">
      <c r="A28" s="78"/>
      <c r="B28" s="78"/>
      <c r="C28" s="62" t="s">
        <v>42</v>
      </c>
      <c r="D28" s="61"/>
      <c r="E28" s="64" t="s">
        <v>25</v>
      </c>
      <c r="F28" s="63"/>
      <c r="G28" s="47">
        <v>2</v>
      </c>
      <c r="H28" s="47">
        <v>4</v>
      </c>
      <c r="I28" s="47">
        <v>4</v>
      </c>
      <c r="J28" s="47">
        <v>2</v>
      </c>
      <c r="K28" s="54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13"/>
      <c r="Y28" s="13"/>
      <c r="Z28" s="13"/>
      <c r="AA28" s="13"/>
      <c r="AB28" s="13"/>
      <c r="AC28" s="13"/>
      <c r="AD28" s="13"/>
      <c r="AE28" s="13"/>
      <c r="AF28" s="13"/>
    </row>
    <row r="29" spans="1:32" ht="16.5" customHeight="1">
      <c r="A29" s="78"/>
      <c r="B29" s="31"/>
      <c r="C29" s="64"/>
      <c r="D29" s="66"/>
      <c r="E29" s="64"/>
      <c r="F29" s="67"/>
      <c r="G29" s="47"/>
      <c r="H29" s="47"/>
      <c r="I29" s="47"/>
      <c r="J29" s="47"/>
      <c r="K29" s="44">
        <v>2</v>
      </c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 ht="16.5" customHeight="1">
      <c r="A30" s="78"/>
      <c r="B30" s="77" t="s">
        <v>43</v>
      </c>
      <c r="C30" s="62" t="s">
        <v>44</v>
      </c>
      <c r="D30" s="65"/>
      <c r="E30" s="64" t="s">
        <v>35</v>
      </c>
      <c r="F30" s="63"/>
      <c r="G30" s="47">
        <v>1.5</v>
      </c>
      <c r="H30" s="47">
        <v>1</v>
      </c>
      <c r="I30" s="47">
        <v>1</v>
      </c>
      <c r="J30" s="47">
        <v>1</v>
      </c>
      <c r="K30" s="47">
        <v>1</v>
      </c>
      <c r="L30" s="54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0</v>
      </c>
      <c r="V30" s="47">
        <v>0</v>
      </c>
      <c r="W30" s="47">
        <v>0</v>
      </c>
      <c r="X30" s="13"/>
      <c r="Y30" s="13"/>
      <c r="Z30" s="13"/>
      <c r="AA30" s="13"/>
      <c r="AB30" s="13"/>
      <c r="AC30" s="13"/>
      <c r="AD30" s="13"/>
      <c r="AE30" s="13"/>
      <c r="AF30" s="13"/>
    </row>
    <row r="31" spans="1:32" ht="16.5" customHeight="1">
      <c r="A31" s="78"/>
      <c r="B31" s="78"/>
      <c r="C31" s="64"/>
      <c r="D31" s="66"/>
      <c r="E31" s="64"/>
      <c r="F31" s="67"/>
      <c r="G31" s="47"/>
      <c r="H31" s="47"/>
      <c r="I31" s="47"/>
      <c r="J31" s="47"/>
      <c r="K31" s="47"/>
      <c r="L31" s="52">
        <v>0.5</v>
      </c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 ht="16.5" customHeight="1">
      <c r="A32" s="78"/>
      <c r="B32" s="78"/>
      <c r="C32" s="62" t="s">
        <v>45</v>
      </c>
      <c r="D32" s="65"/>
      <c r="E32" s="64" t="s">
        <v>40</v>
      </c>
      <c r="F32" s="63"/>
      <c r="G32" s="47">
        <v>1</v>
      </c>
      <c r="H32" s="47">
        <v>1</v>
      </c>
      <c r="I32" s="47">
        <v>1</v>
      </c>
      <c r="J32" s="47">
        <v>1</v>
      </c>
      <c r="K32" s="47">
        <v>1</v>
      </c>
      <c r="L32" s="54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13"/>
      <c r="Y32" s="13"/>
      <c r="Z32" s="13"/>
      <c r="AA32" s="13"/>
      <c r="AB32" s="13"/>
      <c r="AC32" s="13"/>
      <c r="AD32" s="13"/>
      <c r="AE32" s="13"/>
      <c r="AF32" s="13"/>
    </row>
    <row r="33" spans="1:32" ht="16.5" customHeight="1">
      <c r="A33" s="78"/>
      <c r="B33" s="78"/>
      <c r="C33" s="62" t="s">
        <v>46</v>
      </c>
      <c r="D33" s="65"/>
      <c r="E33" s="64" t="s">
        <v>38</v>
      </c>
      <c r="F33" s="63"/>
      <c r="G33" s="47">
        <v>1</v>
      </c>
      <c r="H33" s="47">
        <v>1</v>
      </c>
      <c r="I33" s="47">
        <v>1</v>
      </c>
      <c r="J33" s="47">
        <v>1</v>
      </c>
      <c r="K33" s="47">
        <v>1</v>
      </c>
      <c r="L33" s="54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v>0</v>
      </c>
      <c r="X33" s="13"/>
      <c r="Y33" s="13"/>
      <c r="Z33" s="13"/>
      <c r="AA33" s="13"/>
      <c r="AB33" s="13"/>
      <c r="AC33" s="13"/>
      <c r="AD33" s="13"/>
      <c r="AE33" s="13"/>
      <c r="AF33" s="13"/>
    </row>
    <row r="34" spans="1:32" ht="16.5" customHeight="1">
      <c r="A34" s="78"/>
      <c r="B34" s="78"/>
      <c r="C34" s="62" t="s">
        <v>47</v>
      </c>
      <c r="D34" s="65"/>
      <c r="E34" s="64" t="s">
        <v>48</v>
      </c>
      <c r="F34" s="63"/>
      <c r="G34" s="47">
        <v>2</v>
      </c>
      <c r="H34" s="47">
        <v>2</v>
      </c>
      <c r="I34" s="47">
        <v>2</v>
      </c>
      <c r="J34" s="47">
        <v>2</v>
      </c>
      <c r="K34" s="47">
        <v>2</v>
      </c>
      <c r="L34" s="54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13"/>
      <c r="Y34" s="13"/>
      <c r="Z34" s="13"/>
      <c r="AA34" s="13"/>
      <c r="AB34" s="13"/>
      <c r="AC34" s="13"/>
      <c r="AD34" s="13"/>
      <c r="AE34" s="13"/>
      <c r="AF34" s="13"/>
    </row>
    <row r="35" spans="1:32" ht="16.5" customHeight="1">
      <c r="A35" s="78"/>
      <c r="B35" s="78"/>
      <c r="C35" s="62" t="s">
        <v>49</v>
      </c>
      <c r="D35" s="68"/>
      <c r="E35" s="64" t="s">
        <v>32</v>
      </c>
      <c r="F35" s="63"/>
      <c r="G35" s="47">
        <v>2</v>
      </c>
      <c r="H35" s="47">
        <v>2</v>
      </c>
      <c r="I35" s="47">
        <v>2</v>
      </c>
      <c r="J35" s="47">
        <v>2</v>
      </c>
      <c r="K35" s="47">
        <v>2</v>
      </c>
      <c r="L35" s="54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13"/>
      <c r="Y35" s="13"/>
      <c r="Z35" s="13"/>
      <c r="AA35" s="13"/>
      <c r="AB35" s="13"/>
      <c r="AC35" s="13"/>
      <c r="AD35" s="13"/>
      <c r="AE35" s="13"/>
      <c r="AF35" s="13"/>
    </row>
    <row r="36" spans="1:32" ht="16.5" customHeight="1">
      <c r="A36" s="78"/>
      <c r="B36" s="78"/>
      <c r="C36" s="62" t="s">
        <v>50</v>
      </c>
      <c r="D36" s="65"/>
      <c r="E36" s="64" t="s">
        <v>40</v>
      </c>
      <c r="F36" s="63"/>
      <c r="G36" s="47">
        <v>2</v>
      </c>
      <c r="H36" s="47">
        <v>2</v>
      </c>
      <c r="I36" s="47">
        <v>2</v>
      </c>
      <c r="J36" s="47">
        <v>2</v>
      </c>
      <c r="K36" s="47">
        <v>2</v>
      </c>
      <c r="L36" s="54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13"/>
      <c r="Y36" s="13"/>
      <c r="Z36" s="13"/>
      <c r="AA36" s="13"/>
      <c r="AB36" s="13"/>
      <c r="AC36" s="13"/>
      <c r="AD36" s="13"/>
      <c r="AE36" s="13"/>
      <c r="AF36" s="13"/>
    </row>
    <row r="37" spans="1:32" ht="16.5" customHeight="1">
      <c r="A37" s="78"/>
      <c r="B37" s="78"/>
      <c r="C37" s="62" t="s">
        <v>51</v>
      </c>
      <c r="D37" s="65"/>
      <c r="E37" s="64" t="s">
        <v>35</v>
      </c>
      <c r="F37" s="67"/>
      <c r="G37" s="47">
        <v>1</v>
      </c>
      <c r="H37" s="47">
        <v>1</v>
      </c>
      <c r="I37" s="47">
        <v>1</v>
      </c>
      <c r="J37" s="47">
        <v>1</v>
      </c>
      <c r="K37" s="47">
        <v>1</v>
      </c>
      <c r="L37" s="54">
        <v>0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</v>
      </c>
      <c r="V37" s="47">
        <v>0</v>
      </c>
      <c r="W37" s="47">
        <v>0</v>
      </c>
      <c r="X37" s="13"/>
      <c r="Y37" s="13"/>
      <c r="Z37" s="13"/>
      <c r="AA37" s="13"/>
      <c r="AB37" s="13"/>
      <c r="AC37" s="13"/>
      <c r="AD37" s="13"/>
      <c r="AE37" s="13"/>
      <c r="AF37" s="13"/>
    </row>
    <row r="38" spans="1:32" ht="16.5" customHeight="1">
      <c r="A38" s="78"/>
      <c r="B38" s="78"/>
      <c r="C38" s="69" t="s">
        <v>52</v>
      </c>
      <c r="D38" s="69"/>
      <c r="E38" s="64" t="s">
        <v>25</v>
      </c>
      <c r="F38" s="63"/>
      <c r="G38" s="47">
        <v>5</v>
      </c>
      <c r="H38" s="47">
        <v>5</v>
      </c>
      <c r="I38" s="47">
        <v>5</v>
      </c>
      <c r="J38" s="47">
        <v>5</v>
      </c>
      <c r="K38" s="47">
        <v>5</v>
      </c>
      <c r="L38" s="54">
        <v>0</v>
      </c>
      <c r="M38" s="47">
        <v>0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0</v>
      </c>
      <c r="X38" s="13"/>
      <c r="Y38" s="13"/>
      <c r="Z38" s="13"/>
      <c r="AA38" s="13"/>
      <c r="AB38" s="13"/>
      <c r="AC38" s="13"/>
      <c r="AD38" s="13"/>
      <c r="AE38" s="13"/>
      <c r="AF38" s="13"/>
    </row>
    <row r="39" spans="1:32" ht="16.5" customHeight="1">
      <c r="A39" s="78"/>
      <c r="B39" s="77" t="s">
        <v>53</v>
      </c>
      <c r="C39" s="62" t="s">
        <v>54</v>
      </c>
      <c r="D39" s="65"/>
      <c r="E39" s="64" t="s">
        <v>48</v>
      </c>
      <c r="F39" s="63"/>
      <c r="G39" s="47">
        <v>5</v>
      </c>
      <c r="H39" s="47">
        <v>5</v>
      </c>
      <c r="I39" s="47">
        <v>5</v>
      </c>
      <c r="J39" s="47">
        <v>5</v>
      </c>
      <c r="K39" s="47">
        <v>5</v>
      </c>
      <c r="L39" s="47">
        <v>5</v>
      </c>
      <c r="M39" s="54">
        <v>0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v>0</v>
      </c>
      <c r="X39" s="13"/>
      <c r="Y39" s="13"/>
      <c r="Z39" s="13"/>
      <c r="AA39" s="13"/>
      <c r="AB39" s="13"/>
      <c r="AC39" s="13"/>
      <c r="AD39" s="13"/>
      <c r="AE39" s="13"/>
      <c r="AF39" s="13"/>
    </row>
    <row r="40" spans="1:32" ht="16.5" customHeight="1">
      <c r="A40" s="78"/>
      <c r="B40" s="78"/>
      <c r="C40" s="62" t="s">
        <v>55</v>
      </c>
      <c r="D40" s="61"/>
      <c r="E40" s="64" t="s">
        <v>32</v>
      </c>
      <c r="F40" s="63"/>
      <c r="G40" s="47">
        <v>2</v>
      </c>
      <c r="H40" s="47">
        <v>2</v>
      </c>
      <c r="I40" s="47">
        <v>2</v>
      </c>
      <c r="J40" s="47">
        <v>2</v>
      </c>
      <c r="K40" s="47">
        <v>2</v>
      </c>
      <c r="L40" s="47">
        <v>2</v>
      </c>
      <c r="M40" s="54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v>0</v>
      </c>
      <c r="X40" s="13"/>
      <c r="Y40" s="13"/>
      <c r="Z40" s="13"/>
      <c r="AA40" s="13"/>
      <c r="AB40" s="13"/>
      <c r="AC40" s="13"/>
      <c r="AD40" s="13"/>
      <c r="AE40" s="13"/>
      <c r="AF40" s="13"/>
    </row>
    <row r="41" spans="1:32" ht="16.5" customHeight="1">
      <c r="A41" s="78"/>
      <c r="B41" s="78"/>
      <c r="C41" s="62" t="s">
        <v>56</v>
      </c>
      <c r="D41" s="61"/>
      <c r="E41" s="64" t="s">
        <v>48</v>
      </c>
      <c r="F41" s="63"/>
      <c r="G41" s="47">
        <v>5</v>
      </c>
      <c r="H41" s="47">
        <v>5</v>
      </c>
      <c r="I41" s="47">
        <v>5</v>
      </c>
      <c r="J41" s="47">
        <v>5</v>
      </c>
      <c r="K41" s="47">
        <v>5</v>
      </c>
      <c r="L41" s="47">
        <v>5</v>
      </c>
      <c r="M41" s="54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13"/>
      <c r="Y41" s="13"/>
      <c r="Z41" s="13"/>
      <c r="AA41" s="13"/>
      <c r="AB41" s="13"/>
      <c r="AC41" s="13"/>
      <c r="AD41" s="13"/>
      <c r="AE41" s="13"/>
      <c r="AF41" s="13"/>
    </row>
    <row r="42" spans="1:32" ht="16.5" customHeight="1">
      <c r="A42" s="78"/>
      <c r="B42" s="78"/>
      <c r="C42" s="62" t="s">
        <v>57</v>
      </c>
      <c r="D42" s="61"/>
      <c r="E42" s="64" t="s">
        <v>38</v>
      </c>
      <c r="F42" s="63"/>
      <c r="G42" s="47">
        <v>2</v>
      </c>
      <c r="H42" s="47">
        <v>2</v>
      </c>
      <c r="I42" s="47">
        <v>2</v>
      </c>
      <c r="J42" s="47">
        <v>2</v>
      </c>
      <c r="K42" s="47">
        <v>2</v>
      </c>
      <c r="L42" s="47">
        <v>2</v>
      </c>
      <c r="M42" s="54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13"/>
      <c r="Y42" s="13"/>
      <c r="Z42" s="13"/>
      <c r="AA42" s="13"/>
      <c r="AB42" s="13"/>
      <c r="AC42" s="13"/>
      <c r="AD42" s="13"/>
      <c r="AE42" s="13"/>
      <c r="AF42" s="13"/>
    </row>
    <row r="43" spans="1:32" ht="16.5" customHeight="1">
      <c r="A43" s="78"/>
      <c r="B43" s="78"/>
      <c r="C43" s="62" t="s">
        <v>58</v>
      </c>
      <c r="D43" s="61"/>
      <c r="E43" s="64" t="s">
        <v>32</v>
      </c>
      <c r="F43" s="63"/>
      <c r="G43" s="47">
        <v>0.5</v>
      </c>
      <c r="H43" s="47">
        <v>1</v>
      </c>
      <c r="I43" s="47">
        <v>1</v>
      </c>
      <c r="J43" s="47">
        <v>1</v>
      </c>
      <c r="K43" s="47">
        <v>1</v>
      </c>
      <c r="L43" s="47">
        <v>0.5</v>
      </c>
      <c r="M43" s="54">
        <v>0</v>
      </c>
      <c r="N43" s="47">
        <v>0</v>
      </c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13"/>
      <c r="Y43" s="13"/>
      <c r="Z43" s="13"/>
      <c r="AA43" s="13"/>
      <c r="AB43" s="13"/>
      <c r="AC43" s="13"/>
      <c r="AD43" s="13"/>
      <c r="AE43" s="13"/>
      <c r="AF43" s="13"/>
    </row>
    <row r="44" spans="1:32" ht="16.5" customHeight="1">
      <c r="A44" s="78"/>
      <c r="B44" s="78"/>
      <c r="C44" s="64"/>
      <c r="D44" s="66"/>
      <c r="E44" s="64"/>
      <c r="F44" s="67"/>
      <c r="G44" s="47"/>
      <c r="H44" s="47"/>
      <c r="I44" s="47"/>
      <c r="J44" s="47"/>
      <c r="K44" s="47"/>
      <c r="L44" s="47"/>
      <c r="M44" s="44">
        <v>0.5</v>
      </c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13"/>
      <c r="Y44" s="13"/>
      <c r="Z44" s="13"/>
      <c r="AA44" s="13"/>
      <c r="AB44" s="13"/>
      <c r="AC44" s="13"/>
      <c r="AD44" s="13"/>
      <c r="AE44" s="13"/>
      <c r="AF44" s="13"/>
    </row>
    <row r="45" spans="1:32" ht="16.5" customHeight="1">
      <c r="A45" s="78"/>
      <c r="B45" s="78"/>
      <c r="C45" s="62" t="s">
        <v>59</v>
      </c>
      <c r="D45" s="61"/>
      <c r="E45" s="64" t="s">
        <v>38</v>
      </c>
      <c r="F45" s="63"/>
      <c r="G45" s="47">
        <v>0.5</v>
      </c>
      <c r="H45" s="47">
        <v>1</v>
      </c>
      <c r="I45" s="47">
        <v>1</v>
      </c>
      <c r="J45" s="47">
        <v>1</v>
      </c>
      <c r="K45" s="47">
        <v>1</v>
      </c>
      <c r="L45" s="47">
        <v>1</v>
      </c>
      <c r="M45" s="47">
        <v>0.5</v>
      </c>
      <c r="N45" s="54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13"/>
      <c r="Y45" s="13"/>
      <c r="Z45" s="13"/>
      <c r="AA45" s="13"/>
      <c r="AB45" s="13"/>
      <c r="AC45" s="13"/>
      <c r="AD45" s="13"/>
      <c r="AE45" s="13"/>
      <c r="AF45" s="13"/>
    </row>
    <row r="46" spans="1:32" ht="16.5" customHeight="1">
      <c r="A46" s="78"/>
      <c r="B46" s="78"/>
      <c r="C46" s="64"/>
      <c r="D46" s="66"/>
      <c r="E46" s="64"/>
      <c r="F46" s="67"/>
      <c r="G46" s="47"/>
      <c r="H46" s="47"/>
      <c r="I46" s="47"/>
      <c r="J46" s="47"/>
      <c r="K46" s="47"/>
      <c r="L46" s="47"/>
      <c r="M46" s="47"/>
      <c r="N46" s="44">
        <v>0.5</v>
      </c>
      <c r="O46" s="47"/>
      <c r="P46" s="47"/>
      <c r="Q46" s="47"/>
      <c r="R46" s="47"/>
      <c r="S46" s="47"/>
      <c r="T46" s="47"/>
      <c r="U46" s="47"/>
      <c r="V46" s="47"/>
      <c r="W46" s="47"/>
      <c r="X46" s="13"/>
      <c r="Y46" s="13"/>
      <c r="Z46" s="13"/>
      <c r="AA46" s="13"/>
      <c r="AB46" s="13"/>
      <c r="AC46" s="13"/>
      <c r="AD46" s="13"/>
      <c r="AE46" s="13"/>
      <c r="AF46" s="13"/>
    </row>
    <row r="47" spans="1:32" ht="16.5" customHeight="1">
      <c r="A47" s="78"/>
      <c r="B47" s="78"/>
      <c r="C47" s="62" t="s">
        <v>60</v>
      </c>
      <c r="D47" s="68"/>
      <c r="E47" s="64" t="s">
        <v>32</v>
      </c>
      <c r="F47" s="67"/>
      <c r="G47" s="47">
        <v>6</v>
      </c>
      <c r="H47" s="47">
        <v>6</v>
      </c>
      <c r="I47" s="47">
        <v>6</v>
      </c>
      <c r="J47" s="47">
        <v>6</v>
      </c>
      <c r="K47" s="47">
        <v>6</v>
      </c>
      <c r="L47" s="47">
        <v>6</v>
      </c>
      <c r="M47" s="47">
        <v>6</v>
      </c>
      <c r="N47" s="54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v>0</v>
      </c>
      <c r="X47" s="13"/>
      <c r="Y47" s="13"/>
      <c r="Z47" s="13"/>
      <c r="AA47" s="13"/>
      <c r="AB47" s="13"/>
      <c r="AC47" s="13"/>
      <c r="AD47" s="13"/>
      <c r="AE47" s="13"/>
      <c r="AF47" s="13"/>
    </row>
    <row r="48" spans="1:32" ht="16.5" customHeight="1">
      <c r="A48" s="78"/>
      <c r="B48" s="78"/>
      <c r="C48" s="62" t="s">
        <v>61</v>
      </c>
      <c r="D48" s="68"/>
      <c r="E48" s="64" t="s">
        <v>32</v>
      </c>
      <c r="F48" s="67"/>
      <c r="G48" s="47">
        <v>3</v>
      </c>
      <c r="H48" s="47">
        <v>3</v>
      </c>
      <c r="I48" s="47">
        <v>3</v>
      </c>
      <c r="J48" s="47">
        <v>3</v>
      </c>
      <c r="K48" s="47">
        <v>3</v>
      </c>
      <c r="L48" s="47">
        <v>3</v>
      </c>
      <c r="M48" s="47">
        <v>3</v>
      </c>
      <c r="N48" s="54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v>0</v>
      </c>
      <c r="X48" s="13"/>
      <c r="Y48" s="13"/>
      <c r="Z48" s="13"/>
      <c r="AA48" s="13"/>
      <c r="AB48" s="13"/>
      <c r="AC48" s="13"/>
      <c r="AD48" s="13"/>
      <c r="AE48" s="13"/>
      <c r="AF48" s="13"/>
    </row>
    <row r="49" spans="1:32" ht="16.5" customHeight="1">
      <c r="A49" s="78"/>
      <c r="B49" s="78"/>
      <c r="C49" s="62" t="s">
        <v>62</v>
      </c>
      <c r="D49" s="68"/>
      <c r="E49" s="64" t="s">
        <v>38</v>
      </c>
      <c r="F49" s="67"/>
      <c r="G49" s="47">
        <v>4</v>
      </c>
      <c r="H49" s="47">
        <v>4</v>
      </c>
      <c r="I49" s="47">
        <v>4</v>
      </c>
      <c r="J49" s="47">
        <v>4</v>
      </c>
      <c r="K49" s="47">
        <v>4</v>
      </c>
      <c r="L49" s="47">
        <v>4</v>
      </c>
      <c r="M49" s="47">
        <v>4</v>
      </c>
      <c r="N49" s="47">
        <v>4</v>
      </c>
      <c r="O49" s="54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13"/>
      <c r="Y49" s="13"/>
      <c r="Z49" s="13"/>
      <c r="AA49" s="13"/>
      <c r="AB49" s="13"/>
      <c r="AC49" s="13"/>
      <c r="AD49" s="13"/>
      <c r="AE49" s="13"/>
      <c r="AF49" s="13"/>
    </row>
    <row r="50" spans="1:32" ht="16.5" customHeight="1">
      <c r="A50" s="78"/>
      <c r="B50" s="78"/>
      <c r="C50" s="62" t="s">
        <v>63</v>
      </c>
      <c r="D50" s="68"/>
      <c r="E50" s="64" t="s">
        <v>38</v>
      </c>
      <c r="F50" s="67"/>
      <c r="G50" s="47">
        <v>3</v>
      </c>
      <c r="H50" s="47">
        <v>3</v>
      </c>
      <c r="I50" s="47">
        <v>3</v>
      </c>
      <c r="J50" s="47">
        <v>3</v>
      </c>
      <c r="K50" s="47">
        <v>3</v>
      </c>
      <c r="L50" s="47">
        <v>3</v>
      </c>
      <c r="M50" s="47">
        <v>3</v>
      </c>
      <c r="N50" s="54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0</v>
      </c>
      <c r="V50" s="47">
        <v>0</v>
      </c>
      <c r="W50" s="47">
        <v>0</v>
      </c>
      <c r="X50" s="13"/>
      <c r="Y50" s="13"/>
      <c r="Z50" s="13"/>
      <c r="AA50" s="13"/>
      <c r="AB50" s="13"/>
      <c r="AC50" s="13"/>
      <c r="AD50" s="13"/>
      <c r="AE50" s="13"/>
      <c r="AF50" s="13"/>
    </row>
    <row r="51" spans="1:32" ht="16.5" customHeight="1">
      <c r="A51" s="78"/>
      <c r="B51" s="78"/>
      <c r="C51" s="62" t="s">
        <v>64</v>
      </c>
      <c r="D51" s="68"/>
      <c r="E51" s="64" t="s">
        <v>65</v>
      </c>
      <c r="F51" s="67"/>
      <c r="G51" s="47">
        <v>9</v>
      </c>
      <c r="H51" s="47">
        <v>6</v>
      </c>
      <c r="I51" s="47">
        <v>6</v>
      </c>
      <c r="J51" s="47">
        <v>6</v>
      </c>
      <c r="K51" s="55">
        <v>6</v>
      </c>
      <c r="L51" s="47">
        <v>6</v>
      </c>
      <c r="M51" s="47">
        <v>6</v>
      </c>
      <c r="N51" s="47">
        <v>6</v>
      </c>
      <c r="O51" s="47">
        <v>6</v>
      </c>
      <c r="P51" s="47">
        <v>6</v>
      </c>
      <c r="Q51" s="47">
        <v>6</v>
      </c>
      <c r="R51" s="47">
        <v>6</v>
      </c>
      <c r="S51" s="54">
        <v>0</v>
      </c>
      <c r="T51" s="47">
        <v>0</v>
      </c>
      <c r="U51" s="47">
        <v>0</v>
      </c>
      <c r="V51" s="47">
        <v>0</v>
      </c>
      <c r="W51" s="47">
        <v>0</v>
      </c>
      <c r="X51" s="13"/>
      <c r="Y51" s="13"/>
      <c r="Z51" s="13"/>
      <c r="AA51" s="13"/>
      <c r="AB51" s="13"/>
      <c r="AC51" s="13"/>
      <c r="AD51" s="13"/>
      <c r="AE51" s="13"/>
      <c r="AF51" s="13"/>
    </row>
    <row r="52" spans="1:32" ht="16.5" customHeight="1">
      <c r="A52" s="78"/>
      <c r="B52" s="78"/>
      <c r="C52" s="64"/>
      <c r="D52" s="66"/>
      <c r="E52" s="64"/>
      <c r="F52" s="6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52">
        <v>3</v>
      </c>
      <c r="T52" s="47"/>
      <c r="U52" s="47"/>
      <c r="V52" s="47"/>
      <c r="W52" s="47"/>
      <c r="X52" s="13"/>
      <c r="Y52" s="13"/>
      <c r="Z52" s="13"/>
      <c r="AA52" s="13"/>
      <c r="AB52" s="13"/>
      <c r="AC52" s="13"/>
      <c r="AD52" s="13"/>
      <c r="AE52" s="13"/>
      <c r="AF52" s="13"/>
    </row>
    <row r="53" spans="1:32" ht="16.5" customHeight="1">
      <c r="A53" s="78"/>
      <c r="B53" s="78"/>
      <c r="C53" s="62" t="s">
        <v>66</v>
      </c>
      <c r="D53" s="68"/>
      <c r="E53" s="64" t="s">
        <v>65</v>
      </c>
      <c r="F53" s="67"/>
      <c r="G53" s="47">
        <v>4</v>
      </c>
      <c r="H53" s="47">
        <v>4</v>
      </c>
      <c r="I53" s="47">
        <v>4</v>
      </c>
      <c r="J53" s="47">
        <v>4</v>
      </c>
      <c r="K53" s="47">
        <v>4</v>
      </c>
      <c r="L53" s="47">
        <v>4</v>
      </c>
      <c r="M53" s="47">
        <v>4</v>
      </c>
      <c r="N53" s="47">
        <v>4</v>
      </c>
      <c r="O53" s="47">
        <v>4</v>
      </c>
      <c r="P53" s="54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v>0</v>
      </c>
      <c r="X53" s="13"/>
      <c r="Y53" s="13"/>
      <c r="Z53" s="13"/>
      <c r="AA53" s="13"/>
      <c r="AB53" s="13"/>
      <c r="AC53" s="13"/>
      <c r="AD53" s="13"/>
      <c r="AE53" s="13"/>
      <c r="AF53" s="13"/>
    </row>
    <row r="54" spans="1:32" ht="16.5" customHeight="1">
      <c r="A54" s="78"/>
      <c r="B54" s="78"/>
      <c r="C54" s="62" t="s">
        <v>67</v>
      </c>
      <c r="D54" s="68"/>
      <c r="E54" s="64" t="s">
        <v>48</v>
      </c>
      <c r="F54" s="67"/>
      <c r="G54" s="47">
        <v>1</v>
      </c>
      <c r="H54" s="47">
        <v>4</v>
      </c>
      <c r="I54" s="47">
        <v>4</v>
      </c>
      <c r="J54" s="47">
        <v>4</v>
      </c>
      <c r="K54" s="47">
        <v>4</v>
      </c>
      <c r="L54" s="47">
        <v>4</v>
      </c>
      <c r="M54" s="47">
        <v>4</v>
      </c>
      <c r="N54" s="47">
        <v>4</v>
      </c>
      <c r="O54" s="47">
        <v>4</v>
      </c>
      <c r="P54" s="47">
        <v>4</v>
      </c>
      <c r="Q54" s="47">
        <v>4</v>
      </c>
      <c r="R54" s="47">
        <v>4</v>
      </c>
      <c r="S54" s="47">
        <v>4</v>
      </c>
      <c r="T54" s="47">
        <v>1</v>
      </c>
      <c r="U54" s="54">
        <v>0</v>
      </c>
      <c r="V54" s="47">
        <v>0</v>
      </c>
      <c r="W54" s="47">
        <v>0</v>
      </c>
      <c r="X54" s="13"/>
      <c r="Y54" s="13"/>
      <c r="Z54" s="13"/>
      <c r="AA54" s="13"/>
      <c r="AB54" s="13"/>
      <c r="AC54" s="13"/>
      <c r="AD54" s="13"/>
      <c r="AE54" s="13"/>
      <c r="AF54" s="13"/>
    </row>
    <row r="55" spans="1:32" ht="16.5" customHeight="1">
      <c r="A55" s="78"/>
      <c r="B55" s="78"/>
      <c r="C55" s="64"/>
      <c r="D55" s="66"/>
      <c r="E55" s="64"/>
      <c r="F55" s="6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4">
        <v>2</v>
      </c>
      <c r="V55" s="47"/>
      <c r="W55" s="47"/>
      <c r="X55" s="13"/>
      <c r="Y55" s="13"/>
      <c r="Z55" s="13"/>
      <c r="AA55" s="13"/>
      <c r="AB55" s="13"/>
      <c r="AC55" s="13"/>
      <c r="AD55" s="13"/>
      <c r="AE55" s="13"/>
      <c r="AF55" s="13"/>
    </row>
    <row r="56" spans="1:32" ht="16.5" customHeight="1">
      <c r="A56" s="78"/>
      <c r="B56" s="78"/>
      <c r="C56" s="62" t="s">
        <v>68</v>
      </c>
      <c r="D56" s="61"/>
      <c r="E56" s="64" t="s">
        <v>48</v>
      </c>
      <c r="F56" s="63"/>
      <c r="G56" s="47">
        <v>1</v>
      </c>
      <c r="H56" s="47">
        <v>3</v>
      </c>
      <c r="I56" s="47">
        <v>3</v>
      </c>
      <c r="J56" s="47">
        <v>3</v>
      </c>
      <c r="K56" s="47">
        <v>3</v>
      </c>
      <c r="L56" s="47">
        <v>3</v>
      </c>
      <c r="M56" s="47">
        <v>3</v>
      </c>
      <c r="N56" s="47">
        <v>3</v>
      </c>
      <c r="O56" s="47">
        <v>3</v>
      </c>
      <c r="P56" s="47">
        <v>3</v>
      </c>
      <c r="Q56" s="47">
        <v>3</v>
      </c>
      <c r="R56" s="47">
        <v>3</v>
      </c>
      <c r="S56" s="47">
        <v>1</v>
      </c>
      <c r="T56" s="54">
        <v>0</v>
      </c>
      <c r="U56" s="47">
        <v>0</v>
      </c>
      <c r="V56" s="47">
        <v>0</v>
      </c>
      <c r="W56" s="47">
        <v>0</v>
      </c>
      <c r="X56" s="13"/>
      <c r="Y56" s="13"/>
      <c r="Z56" s="13"/>
      <c r="AA56" s="13"/>
      <c r="AB56" s="13"/>
      <c r="AC56" s="13"/>
      <c r="AD56" s="13"/>
      <c r="AE56" s="13"/>
      <c r="AF56" s="13"/>
    </row>
    <row r="57" spans="1:32" ht="16.5" customHeight="1">
      <c r="A57" s="78"/>
      <c r="B57" s="78"/>
      <c r="C57" s="64"/>
      <c r="D57" s="66"/>
      <c r="E57" s="64"/>
      <c r="F57" s="6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4">
        <v>2</v>
      </c>
      <c r="U57" s="47"/>
      <c r="V57" s="47"/>
      <c r="W57" s="47"/>
      <c r="X57" s="13"/>
      <c r="Y57" s="13"/>
      <c r="Z57" s="13"/>
      <c r="AA57" s="13"/>
      <c r="AB57" s="13"/>
      <c r="AC57" s="13"/>
      <c r="AD57" s="13"/>
      <c r="AE57" s="13"/>
      <c r="AF57" s="13"/>
    </row>
    <row r="58" spans="1:32" ht="16.5" customHeight="1">
      <c r="A58" s="78"/>
      <c r="B58" s="78"/>
      <c r="C58" s="62" t="s">
        <v>69</v>
      </c>
      <c r="D58" s="61"/>
      <c r="E58" s="64" t="s">
        <v>25</v>
      </c>
      <c r="F58" s="63"/>
      <c r="G58" s="47">
        <v>4</v>
      </c>
      <c r="H58" s="47">
        <v>4</v>
      </c>
      <c r="I58" s="47">
        <v>4</v>
      </c>
      <c r="J58" s="47">
        <v>4</v>
      </c>
      <c r="K58" s="47">
        <v>4</v>
      </c>
      <c r="L58" s="47">
        <v>4</v>
      </c>
      <c r="M58" s="47">
        <v>4</v>
      </c>
      <c r="N58" s="47">
        <v>4</v>
      </c>
      <c r="O58" s="47">
        <v>4</v>
      </c>
      <c r="P58" s="47">
        <v>4</v>
      </c>
      <c r="Q58" s="47">
        <v>4</v>
      </c>
      <c r="R58" s="47">
        <v>4</v>
      </c>
      <c r="S58" s="47">
        <v>4</v>
      </c>
      <c r="T58" s="47">
        <v>4</v>
      </c>
      <c r="U58" s="54">
        <v>0</v>
      </c>
      <c r="V58" s="47">
        <v>0</v>
      </c>
      <c r="W58" s="47">
        <v>0</v>
      </c>
      <c r="X58" s="13"/>
      <c r="Y58" s="13"/>
      <c r="Z58" s="13"/>
      <c r="AA58" s="13"/>
      <c r="AB58" s="13"/>
      <c r="AC58" s="13"/>
      <c r="AD58" s="13"/>
      <c r="AE58" s="13"/>
      <c r="AF58" s="13"/>
    </row>
    <row r="59" spans="1:32" ht="16.5" customHeight="1">
      <c r="A59" s="78"/>
      <c r="B59" s="77" t="s">
        <v>70</v>
      </c>
      <c r="C59" s="62" t="s">
        <v>71</v>
      </c>
      <c r="D59" s="61"/>
      <c r="E59" s="64" t="s">
        <v>40</v>
      </c>
      <c r="F59" s="63"/>
      <c r="G59" s="47">
        <v>4</v>
      </c>
      <c r="H59" s="47">
        <v>4</v>
      </c>
      <c r="I59" s="47">
        <v>4</v>
      </c>
      <c r="J59" s="47">
        <v>4</v>
      </c>
      <c r="K59" s="47">
        <v>4</v>
      </c>
      <c r="L59" s="47">
        <v>4</v>
      </c>
      <c r="M59" s="47">
        <v>4</v>
      </c>
      <c r="N59" s="54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0</v>
      </c>
      <c r="V59" s="47">
        <v>0</v>
      </c>
      <c r="W59" s="47">
        <v>0</v>
      </c>
      <c r="X59" s="13"/>
      <c r="Y59" s="13"/>
      <c r="Z59" s="13"/>
      <c r="AA59" s="13"/>
      <c r="AB59" s="13"/>
      <c r="AC59" s="13"/>
      <c r="AD59" s="13"/>
      <c r="AE59" s="13"/>
      <c r="AF59" s="13"/>
    </row>
    <row r="60" spans="1:32" ht="16.5" customHeight="1">
      <c r="A60" s="78"/>
      <c r="B60" s="78"/>
      <c r="C60" s="62" t="s">
        <v>72</v>
      </c>
      <c r="D60" s="61"/>
      <c r="E60" s="64" t="s">
        <v>35</v>
      </c>
      <c r="F60" s="63"/>
      <c r="G60" s="47">
        <v>2</v>
      </c>
      <c r="H60" s="47">
        <v>2</v>
      </c>
      <c r="I60" s="47">
        <v>2</v>
      </c>
      <c r="J60" s="47">
        <v>2</v>
      </c>
      <c r="K60" s="47">
        <v>2</v>
      </c>
      <c r="L60" s="47">
        <v>2</v>
      </c>
      <c r="M60" s="47">
        <v>2</v>
      </c>
      <c r="N60" s="54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v>0</v>
      </c>
      <c r="X60" s="13"/>
      <c r="Y60" s="13"/>
      <c r="Z60" s="13"/>
      <c r="AA60" s="13"/>
      <c r="AB60" s="13"/>
      <c r="AC60" s="13"/>
      <c r="AD60" s="13"/>
      <c r="AE60" s="13"/>
      <c r="AF60" s="13"/>
    </row>
    <row r="61" spans="1:32" ht="16.5" customHeight="1">
      <c r="A61" s="78"/>
      <c r="B61" s="78"/>
      <c r="C61" s="62" t="s">
        <v>73</v>
      </c>
      <c r="D61" s="61"/>
      <c r="E61" s="64" t="s">
        <v>40</v>
      </c>
      <c r="F61" s="63"/>
      <c r="G61" s="47">
        <v>1</v>
      </c>
      <c r="H61" s="47">
        <v>1</v>
      </c>
      <c r="I61" s="47">
        <v>1</v>
      </c>
      <c r="J61" s="47">
        <v>1</v>
      </c>
      <c r="K61" s="47">
        <v>1</v>
      </c>
      <c r="L61" s="47">
        <v>1</v>
      </c>
      <c r="M61" s="47">
        <v>1</v>
      </c>
      <c r="N61" s="54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</v>
      </c>
      <c r="V61" s="47">
        <v>0</v>
      </c>
      <c r="W61" s="47">
        <v>0</v>
      </c>
      <c r="X61" s="13"/>
      <c r="Y61" s="13"/>
      <c r="Z61" s="13"/>
      <c r="AA61" s="13"/>
      <c r="AB61" s="13"/>
      <c r="AC61" s="13"/>
      <c r="AD61" s="13"/>
      <c r="AE61" s="13"/>
      <c r="AF61" s="13"/>
    </row>
    <row r="62" spans="1:32" ht="16.5" customHeight="1">
      <c r="A62" s="78"/>
      <c r="B62" s="78"/>
      <c r="C62" s="62" t="s">
        <v>74</v>
      </c>
      <c r="D62" s="65"/>
      <c r="E62" s="64" t="s">
        <v>35</v>
      </c>
      <c r="F62" s="63"/>
      <c r="G62" s="47">
        <v>1</v>
      </c>
      <c r="H62" s="47">
        <v>1</v>
      </c>
      <c r="I62" s="47">
        <v>1</v>
      </c>
      <c r="J62" s="47">
        <v>1</v>
      </c>
      <c r="K62" s="47">
        <v>1</v>
      </c>
      <c r="L62" s="47">
        <v>1</v>
      </c>
      <c r="M62" s="47">
        <v>1</v>
      </c>
      <c r="N62" s="47">
        <v>1</v>
      </c>
      <c r="O62" s="54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v>0</v>
      </c>
      <c r="X62" s="13"/>
      <c r="Y62" s="13"/>
      <c r="Z62" s="13"/>
      <c r="AA62" s="13"/>
      <c r="AB62" s="13"/>
      <c r="AC62" s="13"/>
      <c r="AD62" s="13"/>
      <c r="AE62" s="13"/>
      <c r="AF62" s="13"/>
    </row>
    <row r="63" spans="1:32" ht="16.5" customHeight="1">
      <c r="A63" s="78"/>
      <c r="B63" s="78"/>
      <c r="C63" s="62" t="s">
        <v>75</v>
      </c>
      <c r="D63" s="61"/>
      <c r="E63" s="64" t="s">
        <v>40</v>
      </c>
      <c r="F63" s="63"/>
      <c r="G63" s="47">
        <v>2</v>
      </c>
      <c r="H63" s="47">
        <v>4</v>
      </c>
      <c r="I63" s="47">
        <v>4</v>
      </c>
      <c r="J63" s="47">
        <v>4</v>
      </c>
      <c r="K63" s="47">
        <v>4</v>
      </c>
      <c r="L63" s="47">
        <v>4</v>
      </c>
      <c r="M63" s="47">
        <v>4</v>
      </c>
      <c r="N63" s="47">
        <v>4</v>
      </c>
      <c r="O63" s="47">
        <v>2</v>
      </c>
      <c r="P63" s="54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v>0</v>
      </c>
      <c r="X63" s="13"/>
      <c r="Y63" s="13"/>
      <c r="Z63" s="13"/>
      <c r="AA63" s="13"/>
      <c r="AB63" s="13"/>
      <c r="AC63" s="13"/>
      <c r="AD63" s="13"/>
      <c r="AE63" s="13"/>
      <c r="AF63" s="13"/>
    </row>
    <row r="64" spans="1:32" ht="16.5" customHeight="1">
      <c r="A64" s="78"/>
      <c r="B64" s="78"/>
      <c r="C64" s="64"/>
      <c r="D64" s="66"/>
      <c r="E64" s="64"/>
      <c r="F64" s="67"/>
      <c r="G64" s="47"/>
      <c r="H64" s="47"/>
      <c r="I64" s="47"/>
      <c r="J64" s="47"/>
      <c r="K64" s="47"/>
      <c r="L64" s="47"/>
      <c r="M64" s="47"/>
      <c r="N64" s="47"/>
      <c r="O64" s="47"/>
      <c r="P64" s="44">
        <v>2</v>
      </c>
      <c r="Q64" s="47"/>
      <c r="R64" s="47"/>
      <c r="S64" s="47"/>
      <c r="T64" s="47"/>
      <c r="U64" s="47"/>
      <c r="V64" s="47"/>
      <c r="W64" s="47"/>
      <c r="X64" s="13"/>
      <c r="Y64" s="13"/>
      <c r="Z64" s="13"/>
      <c r="AA64" s="13"/>
      <c r="AB64" s="13"/>
      <c r="AC64" s="13"/>
      <c r="AD64" s="13"/>
      <c r="AE64" s="13"/>
      <c r="AF64" s="13"/>
    </row>
    <row r="65" spans="1:32" ht="16.5" customHeight="1">
      <c r="A65" s="78"/>
      <c r="B65" s="78"/>
      <c r="C65" s="62" t="s">
        <v>76</v>
      </c>
      <c r="D65" s="61"/>
      <c r="E65" s="64" t="s">
        <v>35</v>
      </c>
      <c r="F65" s="63"/>
      <c r="G65" s="47">
        <v>4</v>
      </c>
      <c r="H65" s="47">
        <v>4</v>
      </c>
      <c r="I65" s="47">
        <v>4</v>
      </c>
      <c r="J65" s="47">
        <v>4</v>
      </c>
      <c r="K65" s="47">
        <v>4</v>
      </c>
      <c r="L65" s="47">
        <v>4</v>
      </c>
      <c r="M65" s="47">
        <v>4</v>
      </c>
      <c r="N65" s="47">
        <v>4</v>
      </c>
      <c r="O65" s="47">
        <v>4</v>
      </c>
      <c r="P65" s="47">
        <v>4</v>
      </c>
      <c r="Q65" s="47">
        <v>4</v>
      </c>
      <c r="R65" s="47">
        <v>4</v>
      </c>
      <c r="S65" s="47">
        <v>4</v>
      </c>
      <c r="T65" s="54">
        <v>0</v>
      </c>
      <c r="U65" s="47">
        <v>0</v>
      </c>
      <c r="V65" s="47">
        <v>0</v>
      </c>
      <c r="W65" s="47">
        <v>0</v>
      </c>
      <c r="X65" s="13"/>
      <c r="Y65" s="13"/>
      <c r="Z65" s="13"/>
      <c r="AA65" s="13"/>
      <c r="AB65" s="13"/>
      <c r="AC65" s="13"/>
      <c r="AD65" s="13"/>
      <c r="AE65" s="13"/>
      <c r="AF65" s="13"/>
    </row>
    <row r="66" spans="1:32" ht="16.5" customHeight="1">
      <c r="A66" s="78"/>
      <c r="B66" s="78"/>
      <c r="C66" s="62" t="s">
        <v>77</v>
      </c>
      <c r="D66" s="61"/>
      <c r="E66" s="64" t="s">
        <v>40</v>
      </c>
      <c r="F66" s="63"/>
      <c r="G66" s="47">
        <v>4</v>
      </c>
      <c r="H66" s="47">
        <v>4</v>
      </c>
      <c r="I66" s="47">
        <v>4</v>
      </c>
      <c r="J66" s="47">
        <v>4</v>
      </c>
      <c r="K66" s="47">
        <v>4</v>
      </c>
      <c r="L66" s="47">
        <v>4</v>
      </c>
      <c r="M66" s="47">
        <v>4</v>
      </c>
      <c r="N66" s="47">
        <v>4</v>
      </c>
      <c r="O66" s="47">
        <v>4</v>
      </c>
      <c r="P66" s="47">
        <v>4</v>
      </c>
      <c r="Q66" s="47">
        <v>4</v>
      </c>
      <c r="R66" s="47">
        <v>4</v>
      </c>
      <c r="S66" s="47">
        <v>4</v>
      </c>
      <c r="T66" s="47">
        <v>4</v>
      </c>
      <c r="U66" s="47">
        <v>4</v>
      </c>
      <c r="V66" s="54">
        <v>0</v>
      </c>
      <c r="W66" s="47">
        <v>0</v>
      </c>
      <c r="X66" s="13"/>
      <c r="Y66" s="13"/>
      <c r="Z66" s="13"/>
      <c r="AA66" s="13"/>
      <c r="AB66" s="13"/>
      <c r="AC66" s="13"/>
      <c r="AD66" s="13"/>
      <c r="AE66" s="13"/>
      <c r="AF66" s="13"/>
    </row>
    <row r="67" spans="1:32" ht="16.5" customHeight="1">
      <c r="A67" s="78"/>
      <c r="B67" s="77" t="s">
        <v>78</v>
      </c>
      <c r="C67" s="62" t="s">
        <v>79</v>
      </c>
      <c r="D67" s="61"/>
      <c r="E67" s="64" t="s">
        <v>27</v>
      </c>
      <c r="F67" s="63"/>
      <c r="G67" s="47">
        <v>2</v>
      </c>
      <c r="H67" s="47">
        <v>2</v>
      </c>
      <c r="I67" s="47">
        <v>2</v>
      </c>
      <c r="J67" s="47">
        <v>2</v>
      </c>
      <c r="K67" s="47">
        <v>2</v>
      </c>
      <c r="L67" s="47">
        <v>2</v>
      </c>
      <c r="M67" s="47">
        <v>2</v>
      </c>
      <c r="N67" s="47">
        <v>2</v>
      </c>
      <c r="O67" s="54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13"/>
      <c r="Y67" s="13"/>
      <c r="Z67" s="13"/>
      <c r="AA67" s="13"/>
      <c r="AB67" s="13"/>
      <c r="AC67" s="13"/>
      <c r="AD67" s="13"/>
      <c r="AE67" s="13"/>
      <c r="AF67" s="13"/>
    </row>
    <row r="68" spans="1:32" ht="16.5" customHeight="1">
      <c r="A68" s="78"/>
      <c r="B68" s="78"/>
      <c r="C68" s="62" t="s">
        <v>80</v>
      </c>
      <c r="D68" s="61"/>
      <c r="E68" s="64" t="s">
        <v>65</v>
      </c>
      <c r="F68" s="63"/>
      <c r="G68" s="47">
        <v>2</v>
      </c>
      <c r="H68" s="47">
        <v>2</v>
      </c>
      <c r="I68" s="47">
        <v>2</v>
      </c>
      <c r="J68" s="47">
        <v>2</v>
      </c>
      <c r="K68" s="47">
        <v>2</v>
      </c>
      <c r="L68" s="47">
        <v>2</v>
      </c>
      <c r="M68" s="47">
        <v>2</v>
      </c>
      <c r="N68" s="47">
        <v>2</v>
      </c>
      <c r="O68" s="54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13"/>
      <c r="Y68" s="13"/>
      <c r="Z68" s="13"/>
      <c r="AA68" s="13"/>
      <c r="AB68" s="13"/>
      <c r="AC68" s="13"/>
      <c r="AD68" s="13"/>
      <c r="AE68" s="13"/>
      <c r="AF68" s="13"/>
    </row>
    <row r="69" spans="1:32" ht="16.5" customHeight="1">
      <c r="A69" s="78"/>
      <c r="B69" s="78"/>
      <c r="C69" s="62" t="s">
        <v>81</v>
      </c>
      <c r="D69" s="61"/>
      <c r="E69" s="64" t="s">
        <v>82</v>
      </c>
      <c r="F69" s="63"/>
      <c r="G69" s="47">
        <v>2</v>
      </c>
      <c r="H69" s="47">
        <v>2</v>
      </c>
      <c r="I69" s="47">
        <v>2</v>
      </c>
      <c r="J69" s="47">
        <v>2</v>
      </c>
      <c r="K69" s="47">
        <v>2</v>
      </c>
      <c r="L69" s="47">
        <v>2</v>
      </c>
      <c r="M69" s="47">
        <v>2</v>
      </c>
      <c r="N69" s="47">
        <v>2</v>
      </c>
      <c r="O69" s="54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13"/>
      <c r="Y69" s="13"/>
      <c r="Z69" s="13"/>
      <c r="AA69" s="13"/>
      <c r="AB69" s="13"/>
      <c r="AC69" s="13"/>
      <c r="AD69" s="13"/>
      <c r="AE69" s="13"/>
      <c r="AF69" s="13"/>
    </row>
    <row r="70" spans="1:32" ht="16.5" customHeight="1">
      <c r="A70" s="78"/>
      <c r="B70" s="78"/>
      <c r="C70" s="62" t="s">
        <v>83</v>
      </c>
      <c r="D70" s="61"/>
      <c r="E70" s="64" t="s">
        <v>32</v>
      </c>
      <c r="F70" s="63"/>
      <c r="G70" s="47">
        <v>6</v>
      </c>
      <c r="H70" s="47">
        <v>6</v>
      </c>
      <c r="I70" s="47">
        <v>6</v>
      </c>
      <c r="J70" s="47">
        <v>6</v>
      </c>
      <c r="K70" s="47">
        <v>6</v>
      </c>
      <c r="L70" s="47">
        <v>6</v>
      </c>
      <c r="M70" s="47">
        <v>6</v>
      </c>
      <c r="N70" s="47">
        <v>6</v>
      </c>
      <c r="O70" s="47">
        <v>6</v>
      </c>
      <c r="P70" s="54">
        <v>0</v>
      </c>
      <c r="Q70" s="47">
        <v>0</v>
      </c>
      <c r="R70" s="47">
        <v>0</v>
      </c>
      <c r="S70" s="47">
        <v>0</v>
      </c>
      <c r="T70" s="47">
        <v>0</v>
      </c>
      <c r="U70" s="47">
        <v>0</v>
      </c>
      <c r="V70" s="47">
        <v>0</v>
      </c>
      <c r="W70" s="47">
        <v>0</v>
      </c>
      <c r="X70" s="13"/>
      <c r="Y70" s="13"/>
      <c r="Z70" s="13"/>
      <c r="AA70" s="13"/>
      <c r="AB70" s="13"/>
      <c r="AC70" s="13"/>
      <c r="AD70" s="13"/>
      <c r="AE70" s="13"/>
      <c r="AF70" s="13"/>
    </row>
    <row r="71" spans="1:32" ht="16.5" customHeight="1">
      <c r="A71" s="78"/>
      <c r="B71" s="78"/>
      <c r="C71" s="62" t="s">
        <v>84</v>
      </c>
      <c r="D71" s="61"/>
      <c r="E71" s="64" t="s">
        <v>38</v>
      </c>
      <c r="F71" s="63"/>
      <c r="G71" s="51">
        <v>2</v>
      </c>
      <c r="H71" s="51">
        <v>2</v>
      </c>
      <c r="I71" s="51">
        <v>2</v>
      </c>
      <c r="J71" s="51">
        <v>2</v>
      </c>
      <c r="K71" s="51">
        <v>2</v>
      </c>
      <c r="L71" s="51">
        <v>2</v>
      </c>
      <c r="M71" s="51">
        <v>2</v>
      </c>
      <c r="N71" s="51">
        <v>2</v>
      </c>
      <c r="O71" s="51">
        <v>2</v>
      </c>
      <c r="P71" s="51">
        <v>2</v>
      </c>
      <c r="Q71" s="54">
        <v>0</v>
      </c>
      <c r="R71" s="47">
        <v>0</v>
      </c>
      <c r="S71" s="47">
        <v>0</v>
      </c>
      <c r="T71" s="47">
        <v>0</v>
      </c>
      <c r="U71" s="47">
        <v>0</v>
      </c>
      <c r="V71" s="47">
        <v>0</v>
      </c>
      <c r="W71" s="47">
        <v>0</v>
      </c>
      <c r="X71" s="13"/>
      <c r="Y71" s="13"/>
      <c r="Z71" s="13"/>
      <c r="AA71" s="13"/>
      <c r="AB71" s="13"/>
      <c r="AC71" s="13"/>
      <c r="AD71" s="13"/>
      <c r="AE71" s="13"/>
      <c r="AF71" s="13"/>
    </row>
    <row r="72" spans="1:32" ht="16.5" customHeight="1">
      <c r="A72" s="78"/>
      <c r="B72" s="78"/>
      <c r="C72" s="62" t="s">
        <v>85</v>
      </c>
      <c r="D72" s="61"/>
      <c r="E72" s="64" t="s">
        <v>65</v>
      </c>
      <c r="F72" s="63"/>
      <c r="G72" s="51">
        <v>2</v>
      </c>
      <c r="H72" s="51">
        <v>2</v>
      </c>
      <c r="I72" s="51">
        <v>2</v>
      </c>
      <c r="J72" s="51">
        <v>2</v>
      </c>
      <c r="K72" s="51">
        <v>2</v>
      </c>
      <c r="L72" s="51">
        <v>2</v>
      </c>
      <c r="M72" s="51">
        <v>2</v>
      </c>
      <c r="N72" s="51">
        <v>2</v>
      </c>
      <c r="O72" s="51">
        <v>2</v>
      </c>
      <c r="P72" s="51">
        <v>2</v>
      </c>
      <c r="Q72" s="51">
        <v>2</v>
      </c>
      <c r="R72" s="51">
        <v>2</v>
      </c>
      <c r="S72" s="51">
        <v>2</v>
      </c>
      <c r="T72" s="51">
        <v>2</v>
      </c>
      <c r="U72" s="54">
        <v>0</v>
      </c>
      <c r="V72" s="47">
        <v>0</v>
      </c>
      <c r="W72" s="47">
        <v>0</v>
      </c>
      <c r="X72" s="13"/>
      <c r="Y72" s="13"/>
      <c r="Z72" s="13"/>
      <c r="AA72" s="13"/>
      <c r="AB72" s="13"/>
      <c r="AC72" s="13"/>
      <c r="AD72" s="13"/>
      <c r="AE72" s="13"/>
      <c r="AF72" s="13"/>
    </row>
    <row r="73" spans="1:32" ht="16.5" customHeight="1">
      <c r="A73" s="78"/>
      <c r="B73" s="78"/>
      <c r="C73" s="62" t="s">
        <v>86</v>
      </c>
      <c r="D73" s="61"/>
      <c r="E73" s="64" t="s">
        <v>48</v>
      </c>
      <c r="F73" s="63"/>
      <c r="G73" s="51">
        <v>2.5</v>
      </c>
      <c r="H73" s="51">
        <v>2</v>
      </c>
      <c r="I73" s="51">
        <v>2</v>
      </c>
      <c r="J73" s="51">
        <v>2</v>
      </c>
      <c r="K73" s="51">
        <v>2</v>
      </c>
      <c r="L73" s="51">
        <v>2</v>
      </c>
      <c r="M73" s="51">
        <v>2</v>
      </c>
      <c r="N73" s="51">
        <v>2</v>
      </c>
      <c r="O73" s="51">
        <v>2</v>
      </c>
      <c r="P73" s="51">
        <v>2</v>
      </c>
      <c r="Q73" s="51">
        <v>2</v>
      </c>
      <c r="R73" s="51">
        <v>2</v>
      </c>
      <c r="S73" s="51">
        <v>2</v>
      </c>
      <c r="T73" s="51">
        <v>2</v>
      </c>
      <c r="U73" s="51">
        <v>2</v>
      </c>
      <c r="V73" s="54">
        <v>0</v>
      </c>
      <c r="W73" s="47">
        <v>0</v>
      </c>
      <c r="X73" s="13"/>
      <c r="Y73" s="13"/>
      <c r="Z73" s="13"/>
      <c r="AA73" s="13"/>
      <c r="AB73" s="13"/>
      <c r="AC73" s="13"/>
      <c r="AD73" s="13"/>
      <c r="AE73" s="13"/>
      <c r="AF73" s="13"/>
    </row>
    <row r="74" spans="1:32" ht="16.5" customHeight="1">
      <c r="A74" s="78"/>
      <c r="B74" s="31"/>
      <c r="C74" s="64"/>
      <c r="D74" s="66"/>
      <c r="E74" s="64"/>
      <c r="F74" s="6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52">
        <v>2.5</v>
      </c>
      <c r="W74" s="47"/>
      <c r="X74" s="13"/>
      <c r="Y74" s="13"/>
      <c r="Z74" s="13"/>
      <c r="AA74" s="13"/>
      <c r="AB74" s="13"/>
      <c r="AC74" s="13"/>
      <c r="AD74" s="13"/>
      <c r="AE74" s="13"/>
      <c r="AF74" s="13"/>
    </row>
    <row r="75" spans="1:32" ht="16.5" customHeight="1">
      <c r="A75" s="78"/>
      <c r="B75" s="77" t="s">
        <v>87</v>
      </c>
      <c r="C75" s="62" t="s">
        <v>88</v>
      </c>
      <c r="D75" s="61"/>
      <c r="E75" s="64" t="s">
        <v>40</v>
      </c>
      <c r="F75" s="63"/>
      <c r="G75" s="51">
        <v>2</v>
      </c>
      <c r="H75" s="51">
        <v>2</v>
      </c>
      <c r="I75" s="51">
        <v>2</v>
      </c>
      <c r="J75" s="51">
        <v>2</v>
      </c>
      <c r="K75" s="51">
        <v>2</v>
      </c>
      <c r="L75" s="51">
        <v>2</v>
      </c>
      <c r="M75" s="51">
        <v>2</v>
      </c>
      <c r="N75" s="51">
        <v>2</v>
      </c>
      <c r="O75" s="54">
        <v>0</v>
      </c>
      <c r="P75" s="47">
        <v>0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13"/>
      <c r="Y75" s="13"/>
      <c r="Z75" s="13"/>
      <c r="AA75" s="13"/>
      <c r="AB75" s="13"/>
      <c r="AC75" s="13"/>
      <c r="AD75" s="13"/>
      <c r="AE75" s="13"/>
      <c r="AF75" s="13"/>
    </row>
    <row r="76" spans="1:32" ht="16.5" customHeight="1">
      <c r="A76" s="78"/>
      <c r="B76" s="78"/>
      <c r="C76" s="62" t="s">
        <v>89</v>
      </c>
      <c r="D76" s="61"/>
      <c r="E76" s="64" t="s">
        <v>35</v>
      </c>
      <c r="F76" s="63"/>
      <c r="G76" s="51">
        <v>2</v>
      </c>
      <c r="H76" s="51">
        <v>2</v>
      </c>
      <c r="I76" s="51">
        <v>2</v>
      </c>
      <c r="J76" s="51">
        <v>2</v>
      </c>
      <c r="K76" s="51">
        <v>2</v>
      </c>
      <c r="L76" s="51">
        <v>2</v>
      </c>
      <c r="M76" s="51">
        <v>2</v>
      </c>
      <c r="N76" s="51">
        <v>2</v>
      </c>
      <c r="O76" s="54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13"/>
      <c r="Y76" s="13"/>
      <c r="Z76" s="13"/>
      <c r="AA76" s="13"/>
      <c r="AB76" s="13"/>
      <c r="AC76" s="13"/>
      <c r="AD76" s="13"/>
      <c r="AE76" s="13"/>
      <c r="AF76" s="13"/>
    </row>
    <row r="77" spans="1:32" ht="16.5" customHeight="1">
      <c r="A77" s="78"/>
      <c r="B77" s="78"/>
      <c r="C77" s="62" t="s">
        <v>90</v>
      </c>
      <c r="D77" s="61"/>
      <c r="E77" s="64" t="s">
        <v>40</v>
      </c>
      <c r="F77" s="63"/>
      <c r="G77" s="51">
        <v>2</v>
      </c>
      <c r="H77" s="51">
        <v>2</v>
      </c>
      <c r="I77" s="51">
        <v>2</v>
      </c>
      <c r="J77" s="51">
        <v>2</v>
      </c>
      <c r="K77" s="51">
        <v>2</v>
      </c>
      <c r="L77" s="51">
        <v>2</v>
      </c>
      <c r="M77" s="51">
        <v>2</v>
      </c>
      <c r="N77" s="51">
        <v>2</v>
      </c>
      <c r="O77" s="54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v>0</v>
      </c>
      <c r="X77" s="13"/>
      <c r="Y77" s="13"/>
      <c r="Z77" s="13"/>
      <c r="AA77" s="13"/>
      <c r="AB77" s="13"/>
      <c r="AC77" s="13"/>
      <c r="AD77" s="13"/>
      <c r="AE77" s="13"/>
      <c r="AF77" s="13"/>
    </row>
    <row r="78" spans="1:32" ht="16.5" customHeight="1">
      <c r="A78" s="78"/>
      <c r="B78" s="78"/>
      <c r="C78" s="62" t="s">
        <v>91</v>
      </c>
      <c r="D78" s="65"/>
      <c r="E78" s="64" t="s">
        <v>35</v>
      </c>
      <c r="F78" s="63"/>
      <c r="G78" s="51">
        <v>2</v>
      </c>
      <c r="H78" s="51">
        <v>2</v>
      </c>
      <c r="I78" s="51">
        <v>2</v>
      </c>
      <c r="J78" s="51">
        <v>2</v>
      </c>
      <c r="K78" s="51">
        <v>2</v>
      </c>
      <c r="L78" s="51">
        <v>2</v>
      </c>
      <c r="M78" s="51">
        <v>2</v>
      </c>
      <c r="N78" s="51">
        <v>2</v>
      </c>
      <c r="O78" s="51">
        <v>2</v>
      </c>
      <c r="P78" s="54">
        <v>0</v>
      </c>
      <c r="Q78" s="47">
        <v>0</v>
      </c>
      <c r="R78" s="47">
        <v>0</v>
      </c>
      <c r="S78" s="47">
        <v>0</v>
      </c>
      <c r="T78" s="47">
        <v>0</v>
      </c>
      <c r="U78" s="47">
        <v>0</v>
      </c>
      <c r="V78" s="47">
        <v>0</v>
      </c>
      <c r="W78" s="47">
        <v>0</v>
      </c>
      <c r="X78" s="13"/>
      <c r="Y78" s="13"/>
      <c r="Z78" s="13"/>
      <c r="AA78" s="13"/>
      <c r="AB78" s="13"/>
      <c r="AC78" s="13"/>
      <c r="AD78" s="13"/>
      <c r="AE78" s="13"/>
      <c r="AF78" s="13"/>
    </row>
    <row r="79" spans="1:32" ht="16.5" customHeight="1">
      <c r="A79" s="78"/>
      <c r="B79" s="78"/>
      <c r="C79" s="62" t="s">
        <v>92</v>
      </c>
      <c r="D79" s="61"/>
      <c r="E79" s="64" t="s">
        <v>40</v>
      </c>
      <c r="F79" s="63"/>
      <c r="G79" s="51">
        <v>2</v>
      </c>
      <c r="H79" s="51">
        <v>2</v>
      </c>
      <c r="I79" s="51">
        <v>2</v>
      </c>
      <c r="J79" s="51">
        <v>2</v>
      </c>
      <c r="K79" s="51">
        <v>2</v>
      </c>
      <c r="L79" s="51">
        <v>2</v>
      </c>
      <c r="M79" s="51">
        <v>2</v>
      </c>
      <c r="N79" s="51">
        <v>2</v>
      </c>
      <c r="O79" s="51">
        <v>2</v>
      </c>
      <c r="P79" s="51">
        <v>2</v>
      </c>
      <c r="Q79" s="51">
        <v>2</v>
      </c>
      <c r="R79" s="54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13"/>
      <c r="Y79" s="13"/>
      <c r="Z79" s="13"/>
      <c r="AA79" s="13"/>
      <c r="AB79" s="13"/>
      <c r="AC79" s="13"/>
      <c r="AD79" s="13"/>
      <c r="AE79" s="13"/>
      <c r="AF79" s="13"/>
    </row>
    <row r="80" spans="1:32" ht="16.5" customHeight="1">
      <c r="A80" s="78"/>
      <c r="B80" s="78"/>
      <c r="C80" s="62" t="s">
        <v>93</v>
      </c>
      <c r="D80" s="61"/>
      <c r="E80" s="64" t="s">
        <v>35</v>
      </c>
      <c r="F80" s="63"/>
      <c r="G80" s="51">
        <v>2</v>
      </c>
      <c r="H80" s="51">
        <v>2</v>
      </c>
      <c r="I80" s="51">
        <v>2</v>
      </c>
      <c r="J80" s="51">
        <v>2</v>
      </c>
      <c r="K80" s="51">
        <v>2</v>
      </c>
      <c r="L80" s="51">
        <v>2</v>
      </c>
      <c r="M80" s="51">
        <v>2</v>
      </c>
      <c r="N80" s="51">
        <v>2</v>
      </c>
      <c r="O80" s="51">
        <v>2</v>
      </c>
      <c r="P80" s="51">
        <v>2</v>
      </c>
      <c r="Q80" s="51">
        <v>2</v>
      </c>
      <c r="R80" s="51">
        <v>2</v>
      </c>
      <c r="S80" s="51">
        <v>2</v>
      </c>
      <c r="T80" s="51">
        <v>2</v>
      </c>
      <c r="U80" s="54">
        <v>0</v>
      </c>
      <c r="V80" s="47">
        <v>0</v>
      </c>
      <c r="W80" s="47">
        <v>0</v>
      </c>
      <c r="X80" s="13"/>
      <c r="Y80" s="13"/>
      <c r="Z80" s="13"/>
      <c r="AA80" s="13"/>
      <c r="AB80" s="13"/>
      <c r="AC80" s="13"/>
      <c r="AD80" s="13"/>
      <c r="AE80" s="13"/>
      <c r="AF80" s="13"/>
    </row>
    <row r="81" spans="1:32" ht="16.5" customHeight="1">
      <c r="A81" s="78"/>
      <c r="B81" s="78"/>
      <c r="C81" s="62" t="s">
        <v>94</v>
      </c>
      <c r="D81" s="61"/>
      <c r="E81" s="64" t="s">
        <v>40</v>
      </c>
      <c r="F81" s="63"/>
      <c r="G81" s="51">
        <v>2</v>
      </c>
      <c r="H81" s="51">
        <v>2</v>
      </c>
      <c r="I81" s="51">
        <v>2</v>
      </c>
      <c r="J81" s="51">
        <v>2</v>
      </c>
      <c r="K81" s="51">
        <v>2</v>
      </c>
      <c r="L81" s="51">
        <v>2</v>
      </c>
      <c r="M81" s="51">
        <v>2</v>
      </c>
      <c r="N81" s="51">
        <v>2</v>
      </c>
      <c r="O81" s="51">
        <v>2</v>
      </c>
      <c r="P81" s="51">
        <v>2</v>
      </c>
      <c r="Q81" s="51">
        <v>2</v>
      </c>
      <c r="R81" s="51">
        <v>2</v>
      </c>
      <c r="S81" s="51">
        <v>2</v>
      </c>
      <c r="T81" s="51">
        <v>2</v>
      </c>
      <c r="U81" s="51">
        <v>2</v>
      </c>
      <c r="V81" s="51">
        <v>2</v>
      </c>
      <c r="W81" s="54">
        <v>0</v>
      </c>
      <c r="X81" s="13"/>
      <c r="Y81" s="13"/>
      <c r="Z81" s="13"/>
      <c r="AA81" s="13"/>
      <c r="AB81" s="13"/>
      <c r="AC81" s="13"/>
      <c r="AD81" s="13"/>
      <c r="AE81" s="13"/>
      <c r="AF81" s="13"/>
    </row>
    <row r="82" spans="1:32" ht="16.5" customHeight="1">
      <c r="A82" s="78"/>
      <c r="B82" s="80" t="s">
        <v>95</v>
      </c>
      <c r="C82" s="70" t="s">
        <v>96</v>
      </c>
      <c r="D82" s="71"/>
      <c r="E82" s="64" t="s">
        <v>25</v>
      </c>
      <c r="F82" s="63"/>
      <c r="G82" s="47">
        <v>3.5</v>
      </c>
      <c r="H82" s="47">
        <v>5</v>
      </c>
      <c r="I82" s="47">
        <v>5</v>
      </c>
      <c r="J82" s="47">
        <v>5</v>
      </c>
      <c r="K82" s="47">
        <v>5</v>
      </c>
      <c r="L82" s="47">
        <v>5</v>
      </c>
      <c r="M82" s="47">
        <v>5</v>
      </c>
      <c r="N82" s="47">
        <v>5</v>
      </c>
      <c r="O82" s="47">
        <v>5</v>
      </c>
      <c r="P82" s="47">
        <v>5</v>
      </c>
      <c r="Q82" s="47">
        <v>5</v>
      </c>
      <c r="R82" s="47">
        <v>5</v>
      </c>
      <c r="S82" s="47">
        <v>5</v>
      </c>
      <c r="T82" s="47">
        <v>5</v>
      </c>
      <c r="U82" s="47">
        <v>5</v>
      </c>
      <c r="V82" s="47">
        <v>3.5</v>
      </c>
      <c r="W82" s="54">
        <v>0</v>
      </c>
      <c r="X82" s="13"/>
      <c r="Y82" s="13"/>
      <c r="Z82" s="13"/>
      <c r="AA82" s="13"/>
      <c r="AB82" s="13"/>
      <c r="AC82" s="13"/>
      <c r="AD82" s="13"/>
      <c r="AE82" s="13"/>
      <c r="AF82" s="13"/>
    </row>
    <row r="83" spans="1:32" ht="16.5" customHeight="1">
      <c r="A83" s="78"/>
      <c r="B83" s="81"/>
      <c r="C83" s="89"/>
      <c r="D83" s="90"/>
      <c r="E83" s="91"/>
      <c r="F83" s="92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4">
        <v>1.5</v>
      </c>
      <c r="X83" s="13"/>
      <c r="Y83" s="13"/>
      <c r="Z83" s="13"/>
      <c r="AA83" s="13"/>
      <c r="AB83" s="13"/>
      <c r="AC83" s="13"/>
      <c r="AD83" s="13"/>
      <c r="AE83" s="13"/>
      <c r="AF83" s="13"/>
    </row>
    <row r="84" spans="1:32" ht="16.5" customHeight="1">
      <c r="A84" s="78"/>
      <c r="B84" s="82"/>
      <c r="C84" s="72" t="s">
        <v>97</v>
      </c>
      <c r="D84" s="73"/>
      <c r="E84" s="64" t="s">
        <v>25</v>
      </c>
      <c r="F84" s="63"/>
      <c r="G84" s="47">
        <v>5</v>
      </c>
      <c r="H84" s="47">
        <v>5</v>
      </c>
      <c r="I84" s="47">
        <v>5</v>
      </c>
      <c r="J84" s="47">
        <v>5</v>
      </c>
      <c r="K84" s="47">
        <v>5</v>
      </c>
      <c r="L84" s="47">
        <v>5</v>
      </c>
      <c r="M84" s="47">
        <v>5</v>
      </c>
      <c r="N84" s="47">
        <v>5</v>
      </c>
      <c r="O84" s="47">
        <v>5</v>
      </c>
      <c r="P84" s="47">
        <v>5</v>
      </c>
      <c r="Q84" s="47">
        <v>5</v>
      </c>
      <c r="R84" s="47">
        <v>5</v>
      </c>
      <c r="S84" s="47">
        <v>5</v>
      </c>
      <c r="T84" s="47">
        <v>5</v>
      </c>
      <c r="U84" s="47">
        <v>5</v>
      </c>
      <c r="V84" s="47">
        <v>5</v>
      </c>
      <c r="W84" s="54">
        <v>0</v>
      </c>
      <c r="X84" s="13"/>
      <c r="Y84" s="13"/>
      <c r="Z84" s="13"/>
      <c r="AA84" s="13"/>
      <c r="AB84" s="13"/>
      <c r="AC84" s="13"/>
      <c r="AD84" s="13"/>
      <c r="AE84" s="13"/>
      <c r="AF84" s="13"/>
    </row>
    <row r="85" spans="1:32" ht="16.5" customHeight="1">
      <c r="A85" s="78"/>
      <c r="B85" s="83" t="s">
        <v>19</v>
      </c>
      <c r="C85" s="84"/>
      <c r="D85" s="85"/>
      <c r="E85" s="74" t="s">
        <v>12</v>
      </c>
      <c r="F85" s="63"/>
      <c r="G85" s="75">
        <f>SUM(G16:G84)</f>
        <v>164</v>
      </c>
      <c r="H85" s="76"/>
      <c r="I85" s="47">
        <f>SUM(I16:I84)</f>
        <v>165</v>
      </c>
      <c r="J85" s="47">
        <f>SUM(J16:J84)</f>
        <v>139.5</v>
      </c>
      <c r="K85" s="47">
        <f>SUM(K16:K84)-K29-K26-K20</f>
        <v>130</v>
      </c>
      <c r="L85" s="47">
        <f>SUM(L16:L84)</f>
        <v>115</v>
      </c>
      <c r="M85" s="47">
        <f>SUM(M16:M84)-M44</f>
        <v>99.5</v>
      </c>
      <c r="N85" s="47">
        <f>SUM(N16:N84)-N46</f>
        <v>80</v>
      </c>
      <c r="O85" s="47">
        <f>SUM(O16:O84)</f>
        <v>61</v>
      </c>
      <c r="P85" s="47">
        <f>SUM(P16:P84)-P64</f>
        <v>47</v>
      </c>
      <c r="Q85" s="47">
        <f>SUM(Q16:Q84)</f>
        <v>45</v>
      </c>
      <c r="R85" s="47">
        <f>SUM(R16:R84)</f>
        <v>43</v>
      </c>
      <c r="S85" s="47">
        <f>SUM(S16:S84)</f>
        <v>38</v>
      </c>
      <c r="T85" s="47">
        <f>SUM(T16:T84)-T57</f>
        <v>27</v>
      </c>
      <c r="U85" s="47">
        <f>SUM(U16:U84)-U55</f>
        <v>18</v>
      </c>
      <c r="V85" s="47">
        <f>SUM(V16:V84)</f>
        <v>13</v>
      </c>
      <c r="W85" s="47">
        <f>SUM(W16:X84)-W83</f>
        <v>0</v>
      </c>
      <c r="X85" s="13"/>
      <c r="Y85" s="13"/>
      <c r="Z85" s="13"/>
      <c r="AA85" s="13"/>
      <c r="AB85" s="13"/>
      <c r="AC85" s="13"/>
      <c r="AD85" s="13"/>
      <c r="AE85" s="13"/>
      <c r="AF85" s="13"/>
    </row>
    <row r="86" spans="1:32" ht="16.5" customHeight="1">
      <c r="A86" s="79"/>
      <c r="B86" s="86"/>
      <c r="C86" s="87"/>
      <c r="D86" s="88"/>
      <c r="E86" s="74" t="s">
        <v>13</v>
      </c>
      <c r="F86" s="63"/>
      <c r="G86" s="75">
        <f>SUM(H16:H84)</f>
        <v>173</v>
      </c>
      <c r="H86" s="76"/>
      <c r="I86" s="47">
        <f>SUM(I16:I83)</f>
        <v>160</v>
      </c>
      <c r="J86" s="47">
        <f>SUM(J17:J84)+K29+J25+J19</f>
        <v>143</v>
      </c>
      <c r="K86" s="47">
        <f>SUM(K17:K84)-K29-K26-K20</f>
        <v>130</v>
      </c>
      <c r="L86" s="47">
        <f>SUM(L17:L84)-L31</f>
        <v>114.5</v>
      </c>
      <c r="M86" s="47">
        <f>SUM(M17:M84)-M44+N46</f>
        <v>100</v>
      </c>
      <c r="N86" s="47">
        <f>SUM(N16:N83)-N46</f>
        <v>75</v>
      </c>
      <c r="O86" s="47">
        <f>SUM(O17:O84)+P64</f>
        <v>63</v>
      </c>
      <c r="P86" s="47">
        <f>SUM(P16:P84)-P64</f>
        <v>47</v>
      </c>
      <c r="Q86" s="47">
        <f>SUM(Q17:Q84)</f>
        <v>45</v>
      </c>
      <c r="R86" s="47">
        <f>SUM(R17:R84)</f>
        <v>43</v>
      </c>
      <c r="S86" s="47">
        <f>SUM(S17:S84)-S52+T57</f>
        <v>37</v>
      </c>
      <c r="T86" s="47">
        <f>SUM(T17:T84)-T57+U55</f>
        <v>29</v>
      </c>
      <c r="U86" s="47">
        <f>SUM(U16:U84)-U55</f>
        <v>18</v>
      </c>
      <c r="V86" s="47">
        <f>SUM(V17:V84)-V74+W83</f>
        <v>12</v>
      </c>
      <c r="W86" s="47">
        <f>SUM(W17:W84)-W83</f>
        <v>0</v>
      </c>
      <c r="X86" s="13"/>
      <c r="Y86" s="13"/>
      <c r="Z86" s="13"/>
      <c r="AA86" s="13"/>
      <c r="AB86" s="13"/>
      <c r="AC86" s="13"/>
      <c r="AD86" s="13"/>
      <c r="AE86" s="13"/>
      <c r="AF86" s="13"/>
    </row>
    <row r="87" spans="1:32" ht="16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 spans="1:32" ht="16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 spans="1:32" ht="16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 spans="1:32" ht="16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 spans="1:32" ht="16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 spans="1:32" ht="16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 spans="1:32" ht="16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 spans="1:32" ht="16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 spans="1:32" ht="16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 spans="1:32" ht="16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 spans="1:32" ht="16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 spans="1:32" ht="16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 spans="1:32" ht="16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 spans="1:32" ht="16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 spans="1:32" ht="16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 spans="1:32" ht="16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 spans="1:32" ht="16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 spans="1:32" ht="16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 spans="1:32" ht="16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 spans="1:32" ht="16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 spans="1:32" ht="16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 spans="1:32" ht="16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 spans="1:32" ht="16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 spans="1:32" ht="16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 spans="1:32" ht="16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 spans="1:32" ht="16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 spans="1:32" ht="16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 spans="1:32" ht="16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 spans="1:32" ht="16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 spans="1:32" ht="16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 spans="1:32" ht="16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 spans="1:32" ht="16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 spans="1:32" ht="16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 spans="1:32" ht="16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 spans="1:32" ht="16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 spans="1:32" ht="16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 spans="1:32" ht="16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 spans="1:32" ht="16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 spans="1:32" ht="16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 spans="1:32" ht="16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 spans="1:32" ht="16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 spans="1:32" ht="16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 spans="1:32" ht="16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 spans="1:32" ht="16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 spans="1:32" ht="16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 spans="1:32" ht="16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 spans="1:32" ht="16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 spans="1:32" ht="16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 spans="1:32" ht="16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 spans="1:32" ht="16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 spans="1:32" ht="16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 spans="1:32" ht="16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 spans="1:32" ht="16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 spans="1:32" ht="16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 spans="1:32" ht="16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 spans="1:32" ht="16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 spans="1:32" ht="16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 spans="1:32" ht="16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 spans="1:32" ht="16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 spans="1:32" ht="16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 spans="1:32" ht="16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 spans="1:32" ht="16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 spans="1:32" ht="16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 spans="1:32" ht="16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 spans="1:32" ht="16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 spans="1:32" ht="16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 spans="1:32" ht="16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 spans="1:32" ht="16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 spans="1:32" ht="16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 spans="1:32" ht="16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 spans="1:32" ht="16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 spans="1:32" ht="16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 spans="1:32" ht="16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 spans="1:32" ht="16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 spans="1:32" ht="16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 spans="1:32" ht="16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 spans="1:32" ht="16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 spans="1:32" ht="16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 spans="1:32" ht="16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 spans="1:32" ht="16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 spans="1:32" ht="16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 spans="1:32" ht="16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 spans="1:32" ht="16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 spans="1:32" ht="16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 spans="1:32" ht="16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 spans="1:32" ht="16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 spans="1:32" ht="16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 spans="1:32" ht="16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 spans="1:32" ht="16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 spans="1:32" ht="16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 spans="1:32" ht="16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 spans="1:32" ht="16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 spans="1:32" ht="16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 spans="1:32" ht="16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 spans="1:32" ht="16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 spans="1:32" ht="16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 spans="1:32" ht="16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 spans="1:32" ht="16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 spans="1:32" ht="16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 spans="1:32" ht="16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 spans="1:32" ht="16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 spans="1:32" ht="16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 spans="1:32" ht="16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 spans="1:32" ht="16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 spans="1:32" ht="16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 spans="1:32" ht="16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 spans="1:32" ht="16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 spans="1:32" ht="16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 spans="1:32" ht="16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 spans="1:32" ht="16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 spans="1:32" ht="16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 spans="1:32" ht="16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 spans="1:32" ht="16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 spans="1:32" ht="16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 spans="1:32" ht="16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 spans="1:32" ht="16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 spans="1:32" ht="16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 spans="1:32" ht="16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 spans="1:32" ht="16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 spans="1:32" ht="16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 spans="1:32" ht="16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 spans="1:32" ht="16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 spans="1:32" ht="16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 spans="1:32" ht="16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 spans="1:32" ht="16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 spans="1:32" ht="16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 spans="1:32" ht="16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 spans="1:32" ht="16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 spans="1:32" ht="16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 spans="1:32" ht="16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 spans="1:32" ht="16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 spans="1:32" ht="16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 spans="1:32" ht="16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 spans="1:32" ht="16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 spans="1:32" ht="16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 spans="1:32" ht="16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 spans="1:32" ht="16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 spans="1:32" ht="16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 spans="1:32" ht="16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 spans="1:32" ht="16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 spans="1:32" ht="16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 spans="1:32" ht="16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 spans="1:32" ht="16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 spans="1:32" ht="16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 spans="1:32" ht="16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 spans="1:32" ht="16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 spans="1:32" ht="16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 spans="1:32" ht="16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 spans="1:32" ht="16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 spans="1:32" ht="16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 spans="1:32" ht="16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 spans="1:32" ht="16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 spans="1:32" ht="16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 spans="1:32" ht="16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 spans="1:32" ht="16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 spans="1:32" ht="16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 spans="1:32" ht="16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 spans="1:32" ht="16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 spans="1:32" ht="16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 spans="1:32" ht="16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 spans="1:32" ht="16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 spans="1:32" ht="16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 spans="1:32" ht="16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 spans="1:32" ht="16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 spans="1:32" ht="16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 spans="1:32" ht="16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 spans="1:32" ht="16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 spans="1:32" ht="16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 spans="1:32" ht="16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 spans="1:32" ht="16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 spans="1:32" ht="16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 spans="1:32" ht="16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 spans="1:32" ht="16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 spans="1:32" ht="16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</row>
    <row r="261" spans="1:32" ht="16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 spans="1:32" ht="16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 spans="1:32" ht="16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 spans="1:32" ht="16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 spans="1:32" ht="16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 spans="1:32" ht="16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 spans="1:32" ht="16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 spans="1:32" ht="16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 spans="1:32" ht="16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 spans="1:32" ht="16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 spans="1:32" ht="16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 spans="1:32" ht="16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 spans="1:32" ht="16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 spans="1:32" ht="16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 spans="1:32" ht="16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 spans="1:32" ht="16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 spans="1:32" ht="16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 spans="1:32" ht="16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 spans="1:32" ht="16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 spans="1:32" ht="16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 spans="1:32" ht="16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 spans="1:32" ht="16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 spans="1:32" ht="16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 spans="1:32" ht="16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 spans="1:32" ht="16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 spans="1:32" ht="16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 spans="1:32" ht="16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 spans="1:32" ht="16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 spans="1:32" ht="16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 spans="1:32" ht="16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 spans="1:32" ht="16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</row>
    <row r="292" spans="1:32" ht="16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 spans="1:32" ht="16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 spans="1:32" ht="16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 spans="1:32" ht="16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 spans="1:32" ht="16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 spans="1:32" ht="16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 spans="1:32" ht="16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 spans="1:32" ht="16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 spans="1:32" ht="16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 spans="1:32" ht="16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 spans="1:32" ht="16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 spans="1:32" ht="16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 spans="1:32" ht="16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 spans="1:32" ht="16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 spans="1:32" ht="16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 spans="1:32" ht="16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</row>
    <row r="308" spans="1:32" ht="16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 spans="1:32" ht="16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 spans="1:32" ht="16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 spans="1:32" ht="16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 spans="1:32" ht="16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 spans="1:32" ht="16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 spans="1:32" ht="16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 spans="1:32" ht="16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</row>
    <row r="316" spans="1:32" ht="16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 spans="1:32" ht="16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 spans="1:32" ht="16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</row>
    <row r="319" spans="1:32" ht="16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</row>
    <row r="320" spans="1:32" ht="16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</row>
    <row r="321" spans="1:32" ht="16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 spans="1:32" ht="16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 spans="1:32" ht="16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</row>
    <row r="324" spans="1:32" ht="16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 spans="1:32" ht="16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 spans="1:32" ht="16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 spans="1:32" ht="16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28" spans="1:32" ht="16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 spans="1:32" ht="16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</row>
    <row r="330" spans="1:32" ht="16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</row>
    <row r="331" spans="1:32" ht="16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 spans="1:32" ht="16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</row>
    <row r="333" spans="1:32" ht="16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 spans="1:32" ht="16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 spans="1:32" ht="16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</row>
    <row r="336" spans="1:32" ht="16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</row>
    <row r="337" spans="1:32" ht="16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 spans="1:32" ht="16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</row>
    <row r="339" spans="1:32" ht="16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</row>
    <row r="340" spans="1:32" ht="16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 spans="1:32" ht="16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 spans="1:32" ht="16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 spans="1:32" ht="16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 spans="1:32" ht="16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 spans="1:32" ht="16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 spans="1:32" ht="16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 spans="1:32" ht="16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 spans="1:32" ht="16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 spans="1:32" ht="16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 spans="1:32" ht="16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 spans="1:32" ht="16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</row>
    <row r="352" spans="1:32" ht="16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</row>
    <row r="353" spans="1:32" ht="16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</row>
    <row r="354" spans="1:32" ht="16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</row>
    <row r="355" spans="1:32" ht="16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</row>
    <row r="356" spans="1:32" ht="16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</row>
    <row r="357" spans="1:32" ht="16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</row>
    <row r="358" spans="1:32" ht="16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</row>
    <row r="359" spans="1:32" ht="16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</row>
    <row r="360" spans="1:32" ht="16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</row>
    <row r="361" spans="1:32" ht="16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</row>
    <row r="362" spans="1:32" ht="16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</row>
    <row r="363" spans="1:32" ht="16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</row>
    <row r="364" spans="1:32" ht="16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</row>
    <row r="365" spans="1:32" ht="16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</row>
    <row r="366" spans="1:32" ht="16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</row>
    <row r="367" spans="1:32" ht="16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</row>
    <row r="368" spans="1:32" ht="16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</row>
    <row r="369" spans="1:32" ht="16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</row>
    <row r="370" spans="1:32" ht="16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</row>
    <row r="371" spans="1:32" ht="16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</row>
    <row r="372" spans="1:32" ht="16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</row>
    <row r="373" spans="1:32" ht="16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</row>
    <row r="374" spans="1:32" ht="16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</row>
    <row r="375" spans="1:32" ht="16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</row>
    <row r="376" spans="1:32" ht="16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</row>
    <row r="377" spans="1:32" ht="16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</row>
    <row r="378" spans="1:32" ht="16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</row>
    <row r="379" spans="1:32" ht="16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</row>
    <row r="380" spans="1:32" ht="16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</row>
    <row r="381" spans="1:32" ht="16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</row>
    <row r="382" spans="1:32" ht="16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</row>
    <row r="383" spans="1:32" ht="16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</row>
    <row r="384" spans="1:32" ht="16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</row>
    <row r="385" spans="1:32" ht="16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</row>
    <row r="386" spans="1:32" ht="16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</row>
    <row r="387" spans="1:32" ht="16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</row>
    <row r="388" spans="1:32" ht="16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</row>
    <row r="389" spans="1:32" ht="16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</row>
    <row r="390" spans="1:32" ht="16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</row>
    <row r="391" spans="1:32" ht="16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</row>
    <row r="392" spans="1:32" ht="16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</row>
    <row r="393" spans="1:32" ht="16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</row>
    <row r="394" spans="1:32" ht="16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</row>
    <row r="395" spans="1:32" ht="16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</row>
    <row r="396" spans="1:32" ht="16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</row>
    <row r="397" spans="1:32" ht="16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</row>
    <row r="398" spans="1:32" ht="16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</row>
    <row r="399" spans="1:32" ht="16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</row>
    <row r="400" spans="1:32" ht="16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</row>
    <row r="401" spans="1:32" ht="16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</row>
    <row r="402" spans="1:32" ht="16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</row>
    <row r="403" spans="1:32" ht="16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</row>
    <row r="404" spans="1:32" ht="16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</row>
    <row r="405" spans="1:32" ht="16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</row>
    <row r="406" spans="1:32" ht="16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</row>
    <row r="407" spans="1:32" ht="16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</row>
    <row r="408" spans="1:32" ht="16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</row>
    <row r="409" spans="1:32" ht="16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</row>
    <row r="410" spans="1:32" ht="16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</row>
    <row r="411" spans="1:32" ht="16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</row>
    <row r="412" spans="1:32" ht="16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</row>
    <row r="413" spans="1:32" ht="16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 spans="1:32" ht="16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 spans="1:32" ht="16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 spans="1:32" ht="16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</row>
    <row r="417" spans="1:32" ht="16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</row>
    <row r="418" spans="1:32" ht="16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</row>
    <row r="419" spans="1:32" ht="16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 spans="1:32" ht="16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</row>
    <row r="421" spans="1:32" ht="16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</row>
    <row r="422" spans="1:32" ht="16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</row>
    <row r="423" spans="1:32" ht="16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</row>
    <row r="424" spans="1:32" ht="16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 spans="1:32" ht="16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 spans="1:32" ht="16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 spans="1:32" ht="16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 spans="1:32" ht="16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 spans="1:32" ht="16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 spans="1:32" ht="16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 spans="1:32" ht="16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 spans="1:32" ht="16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 spans="1:32" ht="16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 spans="1:32" ht="16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 spans="1:32" ht="16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</row>
    <row r="436" spans="1:32" ht="16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</row>
    <row r="437" spans="1:32" ht="16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</row>
    <row r="438" spans="1:32" ht="16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</row>
    <row r="439" spans="1:32" ht="16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 spans="1:32" ht="16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 spans="1:32" ht="16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</row>
    <row r="442" spans="1:32" ht="16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</row>
    <row r="443" spans="1:32" ht="16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</row>
    <row r="444" spans="1:32" ht="16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</row>
    <row r="445" spans="1:32" ht="16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</row>
    <row r="446" spans="1:32" ht="16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</row>
    <row r="447" spans="1:32" ht="16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</row>
    <row r="448" spans="1:32" ht="16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</row>
    <row r="449" spans="1:32" ht="16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</row>
    <row r="450" spans="1:32" ht="16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</row>
    <row r="451" spans="1:32" ht="16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</row>
    <row r="452" spans="1:32" ht="16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</row>
    <row r="453" spans="1:32" ht="16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</row>
    <row r="454" spans="1:32" ht="16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</row>
    <row r="455" spans="1:32" ht="16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</row>
    <row r="456" spans="1:32" ht="16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</row>
    <row r="457" spans="1:32" ht="16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</row>
    <row r="458" spans="1:32" ht="16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</row>
    <row r="459" spans="1:32" ht="16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</row>
    <row r="460" spans="1:32" ht="16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</row>
    <row r="461" spans="1:32" ht="16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</row>
    <row r="462" spans="1:32" ht="16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</row>
    <row r="463" spans="1:32" ht="16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</row>
    <row r="464" spans="1:32" ht="16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</row>
    <row r="465" spans="1:32" ht="16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</row>
    <row r="466" spans="1:32" ht="16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</row>
    <row r="467" spans="1:32" ht="16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</row>
    <row r="468" spans="1:32" ht="16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</row>
    <row r="469" spans="1:32" ht="16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</row>
    <row r="470" spans="1:32" ht="16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</row>
    <row r="471" spans="1:32" ht="16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</row>
    <row r="472" spans="1:32" ht="16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</row>
    <row r="473" spans="1:32" ht="16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</row>
    <row r="474" spans="1:32" ht="16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</row>
    <row r="475" spans="1:32" ht="16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</row>
    <row r="476" spans="1:32" ht="16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</row>
    <row r="477" spans="1:32" ht="16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</row>
    <row r="478" spans="1:32" ht="16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</row>
    <row r="479" spans="1:32" ht="16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</row>
    <row r="480" spans="1:32" ht="16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</row>
    <row r="481" spans="1:32" ht="16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 spans="1:32" ht="16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 spans="1:32" ht="16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 spans="1:32" ht="16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 spans="1:32" ht="16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 spans="1:32" ht="16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 spans="1:32" ht="16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</row>
    <row r="488" spans="1:32" ht="16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</row>
    <row r="489" spans="1:32" ht="16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</row>
    <row r="490" spans="1:32" ht="16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 spans="1:32" ht="16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 spans="1:32" ht="16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 spans="1:32" ht="16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 spans="1:32" ht="16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 spans="1:32" ht="16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 spans="1:32" ht="16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 spans="1:32" ht="16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 spans="1:32" ht="16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 spans="1:32" ht="16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 spans="1:32" ht="16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 spans="1:32" ht="16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 spans="1:32" ht="16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 spans="1:32" ht="16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 spans="1:32" ht="16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 spans="1:32" ht="16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 spans="1:32" ht="16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 spans="1:32" ht="16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 spans="1:32" ht="16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 spans="1:32" ht="16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 spans="1:32" ht="16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 spans="1:32" ht="16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 spans="1:32" ht="16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 spans="1:32" ht="16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 spans="1:32" ht="16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 spans="1:32" ht="16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</row>
    <row r="516" spans="1:32" ht="16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</row>
    <row r="517" spans="1:32" ht="16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</row>
    <row r="518" spans="1:32" ht="16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</row>
    <row r="519" spans="1:32" ht="16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</row>
    <row r="520" spans="1:32" ht="16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</row>
    <row r="521" spans="1:32" ht="16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</row>
    <row r="522" spans="1:32" ht="16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</row>
    <row r="523" spans="1:32" ht="16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</row>
    <row r="524" spans="1:32" ht="16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 spans="1:32" ht="16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 spans="1:32" ht="16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 spans="1:32" ht="16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 spans="1:32" ht="16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 spans="1:32" ht="16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 spans="1:32" ht="16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 spans="1:32" ht="16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 spans="1:32" ht="16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 spans="1:32" ht="16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 spans="1:32" ht="16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 spans="1:32" ht="16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</row>
    <row r="536" spans="1:32" ht="16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</row>
    <row r="537" spans="1:32" ht="16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</row>
    <row r="538" spans="1:32" ht="16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</row>
    <row r="539" spans="1:32" ht="16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</row>
    <row r="540" spans="1:32" ht="16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</row>
    <row r="541" spans="1:32" ht="16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</row>
    <row r="542" spans="1:32" ht="16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 spans="1:32" ht="16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 spans="1:32" ht="16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 spans="1:32" ht="16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 spans="1:32" ht="16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 spans="1:32" ht="16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 spans="1:32" ht="16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 spans="1:32" ht="16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 spans="1:32" ht="16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 spans="1:32" ht="16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 spans="1:32" ht="16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 spans="1:32" ht="16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 spans="1:32" ht="16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 spans="1:32" ht="16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 spans="1:32" ht="16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 spans="1:32" ht="16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 spans="1:32" ht="16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 spans="1:32" ht="16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</row>
    <row r="560" spans="1:32" ht="16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 spans="1:32" ht="16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 spans="1:32" ht="16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 spans="1:32" ht="16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 spans="1:32" ht="16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 spans="1:32" ht="16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 spans="1:32" ht="16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 spans="1:32" ht="16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 spans="1:32" ht="16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 spans="1:32" ht="16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 spans="1:32" ht="16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 spans="1:32" ht="16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 spans="1:32" ht="16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</row>
    <row r="573" spans="1:32" ht="16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</row>
    <row r="574" spans="1:32" ht="16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</row>
    <row r="575" spans="1:32" ht="16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 spans="1:32" ht="16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 spans="1:32" ht="16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 spans="1:32" ht="16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 spans="1:32" ht="16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 spans="1:32" ht="16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</row>
    <row r="581" spans="1:32" ht="16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</row>
    <row r="582" spans="1:32" ht="16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</row>
    <row r="583" spans="1:32" ht="16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</row>
    <row r="584" spans="1:32" ht="16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</row>
    <row r="585" spans="1:32" ht="16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</row>
    <row r="586" spans="1:32" ht="16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</row>
    <row r="587" spans="1:32" ht="16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</row>
    <row r="588" spans="1:32" ht="16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</row>
    <row r="589" spans="1:32" ht="16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</row>
    <row r="590" spans="1:32" ht="16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</row>
    <row r="591" spans="1:32" ht="16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 spans="1:32" ht="16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</row>
    <row r="593" spans="1:32" ht="16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</row>
    <row r="594" spans="1:32" ht="16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</row>
    <row r="595" spans="1:32" ht="16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</row>
    <row r="596" spans="1:32" ht="16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</row>
    <row r="597" spans="1:32" ht="16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</row>
    <row r="598" spans="1:32" ht="16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</row>
    <row r="599" spans="1:32" ht="16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</row>
    <row r="600" spans="1:32" ht="16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</row>
    <row r="601" spans="1:32" ht="16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</row>
    <row r="602" spans="1:32" ht="16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</row>
    <row r="603" spans="1:32" ht="16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</row>
    <row r="604" spans="1:32" ht="16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</row>
    <row r="605" spans="1:32" ht="16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</row>
    <row r="606" spans="1:32" ht="16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</row>
    <row r="607" spans="1:32" ht="16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</row>
    <row r="608" spans="1:32" ht="16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</row>
    <row r="609" spans="1:32" ht="16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</row>
    <row r="610" spans="1:32" ht="16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</row>
    <row r="611" spans="1:32" ht="16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</row>
    <row r="612" spans="1:32" ht="16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</row>
    <row r="613" spans="1:32" ht="16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</row>
    <row r="614" spans="1:32" ht="16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</row>
    <row r="615" spans="1:32" ht="16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</row>
    <row r="616" spans="1:32" ht="16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</row>
    <row r="617" spans="1:32" ht="16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</row>
    <row r="618" spans="1:32" ht="16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</row>
    <row r="619" spans="1:32" ht="16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</row>
    <row r="620" spans="1:32" ht="16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</row>
    <row r="621" spans="1:32" ht="16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</row>
    <row r="622" spans="1:32" ht="16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</row>
    <row r="623" spans="1:32" ht="16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</row>
    <row r="624" spans="1:32" ht="16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</row>
    <row r="625" spans="1:32" ht="16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</row>
    <row r="626" spans="1:32" ht="16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</row>
    <row r="627" spans="1:32" ht="16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</row>
    <row r="628" spans="1:32" ht="16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</row>
    <row r="629" spans="1:32" ht="16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</row>
    <row r="630" spans="1:32" ht="16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</row>
    <row r="631" spans="1:32" ht="16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</row>
    <row r="632" spans="1:32" ht="16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</row>
    <row r="633" spans="1:32" ht="16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</row>
    <row r="634" spans="1:32" ht="16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</row>
    <row r="635" spans="1:32" ht="16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</row>
    <row r="636" spans="1:32" ht="16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</row>
    <row r="637" spans="1:32" ht="16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</row>
    <row r="638" spans="1:32" ht="16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</row>
    <row r="639" spans="1:32" ht="16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</row>
    <row r="640" spans="1:32" ht="16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</row>
    <row r="641" spans="1:32" ht="16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</row>
    <row r="642" spans="1:32" ht="16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</row>
    <row r="643" spans="1:32" ht="16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</row>
    <row r="644" spans="1:32" ht="16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</row>
    <row r="645" spans="1:32" ht="16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</row>
    <row r="646" spans="1:32" ht="16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</row>
    <row r="647" spans="1:32" ht="16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</row>
    <row r="648" spans="1:32" ht="16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</row>
    <row r="649" spans="1:32" ht="16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</row>
    <row r="650" spans="1:32" ht="16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</row>
    <row r="651" spans="1:32" ht="16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</row>
    <row r="652" spans="1:32" ht="16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</row>
    <row r="653" spans="1:32" ht="16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</row>
    <row r="654" spans="1:32" ht="16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</row>
    <row r="655" spans="1:32" ht="16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</row>
    <row r="656" spans="1:32" ht="16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</row>
    <row r="657" spans="1:32" ht="16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</row>
    <row r="658" spans="1:32" ht="16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</row>
    <row r="659" spans="1:32" ht="16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</row>
    <row r="660" spans="1:32" ht="16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</row>
    <row r="661" spans="1:32" ht="16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</row>
    <row r="662" spans="1:32" ht="16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</row>
    <row r="663" spans="1:32" ht="16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</row>
    <row r="664" spans="1:32" ht="16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</row>
    <row r="665" spans="1:32" ht="16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</row>
    <row r="666" spans="1:32" ht="16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</row>
    <row r="667" spans="1:32" ht="16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</row>
    <row r="668" spans="1:32" ht="16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</row>
    <row r="669" spans="1:32" ht="16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</row>
    <row r="670" spans="1:32" ht="16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</row>
    <row r="671" spans="1:32" ht="16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</row>
    <row r="672" spans="1:32" ht="16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</row>
    <row r="673" spans="1:32" ht="16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</row>
    <row r="674" spans="1:32" ht="16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</row>
    <row r="675" spans="1:32" ht="16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</row>
    <row r="676" spans="1:32" ht="16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</row>
    <row r="677" spans="1:32" ht="16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</row>
    <row r="678" spans="1:32" ht="16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</row>
    <row r="679" spans="1:32" ht="16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</row>
    <row r="680" spans="1:32" ht="16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</row>
    <row r="681" spans="1:32" ht="16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</row>
    <row r="682" spans="1:32" ht="16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</row>
    <row r="683" spans="1:32" ht="16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</row>
    <row r="684" spans="1:32" ht="16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</row>
    <row r="685" spans="1:32" ht="16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</row>
    <row r="686" spans="1:32" ht="16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</row>
    <row r="687" spans="1:32" ht="16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</row>
    <row r="688" spans="1:32" ht="16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</row>
    <row r="689" spans="1:32" ht="16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</row>
    <row r="690" spans="1:32" ht="16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</row>
    <row r="691" spans="1:32" ht="16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</row>
    <row r="692" spans="1:32" ht="16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</row>
    <row r="693" spans="1:32" ht="16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</row>
    <row r="694" spans="1:32" ht="16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</row>
    <row r="695" spans="1:32" ht="16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</row>
    <row r="696" spans="1:32" ht="16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</row>
    <row r="697" spans="1:32" ht="16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</row>
    <row r="698" spans="1:32" ht="16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</row>
    <row r="699" spans="1:32" ht="16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</row>
    <row r="700" spans="1:32" ht="16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</row>
    <row r="701" spans="1:32" ht="16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</row>
    <row r="702" spans="1:32" ht="16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</row>
    <row r="703" spans="1:32" ht="16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</row>
    <row r="704" spans="1:32" ht="16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</row>
    <row r="705" spans="1:32" ht="16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</row>
    <row r="706" spans="1:32" ht="16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</row>
    <row r="707" spans="1:32" ht="16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</row>
    <row r="708" spans="1:32" ht="16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</row>
    <row r="709" spans="1:32" ht="16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</row>
    <row r="710" spans="1:32" ht="16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</row>
    <row r="711" spans="1:32" ht="16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</row>
    <row r="712" spans="1:32" ht="16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</row>
    <row r="713" spans="1:32" ht="16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</row>
    <row r="714" spans="1:32" ht="16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</row>
    <row r="715" spans="1:32" ht="16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</row>
    <row r="716" spans="1:32" ht="16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</row>
    <row r="717" spans="1:32" ht="16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</row>
    <row r="718" spans="1:32" ht="16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</row>
    <row r="719" spans="1:32" ht="16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</row>
    <row r="720" spans="1:32" ht="16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</row>
    <row r="721" spans="1:32" ht="16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</row>
    <row r="722" spans="1:32" ht="16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</row>
    <row r="723" spans="1:32" ht="16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</row>
    <row r="724" spans="1:32" ht="16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</row>
    <row r="725" spans="1:32" ht="16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</row>
    <row r="726" spans="1:32" ht="16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</row>
    <row r="727" spans="1:32" ht="16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</row>
    <row r="728" spans="1:32" ht="16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</row>
    <row r="729" spans="1:32" ht="16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</row>
    <row r="730" spans="1:32" ht="16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</row>
    <row r="731" spans="1:32" ht="16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</row>
    <row r="732" spans="1:32" ht="16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</row>
    <row r="733" spans="1:32" ht="16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</row>
    <row r="734" spans="1:32" ht="16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</row>
    <row r="735" spans="1:32" ht="16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</row>
    <row r="736" spans="1:32" ht="16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</row>
    <row r="737" spans="1:32" ht="16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</row>
    <row r="738" spans="1:32" ht="16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</row>
    <row r="739" spans="1:32" ht="16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</row>
    <row r="740" spans="1:32" ht="16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</row>
    <row r="741" spans="1:32" ht="16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</row>
    <row r="742" spans="1:32" ht="16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</row>
    <row r="743" spans="1:32" ht="16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 spans="1:32" ht="16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</row>
    <row r="745" spans="1:32" ht="16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</row>
    <row r="746" spans="1:32" ht="16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</row>
    <row r="747" spans="1:32" ht="16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</row>
    <row r="748" spans="1:32" ht="16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</row>
    <row r="749" spans="1:32" ht="16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</row>
    <row r="750" spans="1:32" ht="16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</row>
    <row r="751" spans="1:32" ht="16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</row>
    <row r="752" spans="1:32" ht="16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</row>
    <row r="753" spans="1:32" ht="16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</row>
    <row r="754" spans="1:32" ht="16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</row>
    <row r="755" spans="1:32" ht="16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</row>
    <row r="756" spans="1:32" ht="16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</row>
    <row r="757" spans="1:32" ht="16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</row>
    <row r="758" spans="1:32" ht="16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</row>
    <row r="759" spans="1:32" ht="16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</row>
    <row r="760" spans="1:32" ht="16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</row>
    <row r="761" spans="1:32" ht="16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</row>
    <row r="762" spans="1:32" ht="16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</row>
    <row r="763" spans="1:32" ht="16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</row>
    <row r="764" spans="1:32" ht="16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</row>
    <row r="765" spans="1:32" ht="16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</row>
    <row r="766" spans="1:32" ht="16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</row>
    <row r="767" spans="1:32" ht="16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</row>
    <row r="768" spans="1:32" ht="16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</row>
    <row r="769" spans="1:32" ht="16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</row>
    <row r="770" spans="1:32" ht="16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</row>
    <row r="771" spans="1:32" ht="16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</row>
    <row r="772" spans="1:32" ht="16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</row>
    <row r="773" spans="1:32" ht="16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</row>
    <row r="774" spans="1:32" ht="16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</row>
    <row r="775" spans="1:32" ht="16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</row>
    <row r="776" spans="1:32" ht="16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</row>
    <row r="777" spans="1:32" ht="16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</row>
    <row r="778" spans="1:32" ht="16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</row>
    <row r="779" spans="1:32" ht="16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</row>
    <row r="780" spans="1:32" ht="16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</row>
    <row r="781" spans="1:32" ht="16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</row>
    <row r="782" spans="1:32" ht="16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</row>
    <row r="783" spans="1:32" ht="16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</row>
    <row r="784" spans="1:32" ht="16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</row>
    <row r="785" spans="1:32" ht="16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</row>
    <row r="786" spans="1:32" ht="16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</row>
    <row r="787" spans="1:32" ht="16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</row>
    <row r="788" spans="1:32" ht="16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</row>
    <row r="789" spans="1:32" ht="16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</row>
    <row r="790" spans="1:32" ht="16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</row>
    <row r="791" spans="1:32" ht="16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</row>
    <row r="792" spans="1:32" ht="16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</row>
    <row r="793" spans="1:32" ht="16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</row>
    <row r="794" spans="1:32" ht="16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</row>
    <row r="795" spans="1:32" ht="16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</row>
    <row r="796" spans="1:32" ht="16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</row>
    <row r="797" spans="1:32" ht="16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</row>
    <row r="798" spans="1:32" ht="16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</row>
    <row r="799" spans="1:32" ht="16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</row>
    <row r="800" spans="1:32" ht="16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</row>
    <row r="801" spans="1:32" ht="16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</row>
    <row r="802" spans="1:32" ht="16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</row>
    <row r="803" spans="1:32" ht="16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</row>
    <row r="804" spans="1:32" ht="16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</row>
    <row r="805" spans="1:32" ht="16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</row>
    <row r="806" spans="1:32" ht="16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</row>
    <row r="807" spans="1:32" ht="16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</row>
    <row r="808" spans="1:32" ht="16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</row>
    <row r="809" spans="1:32" ht="16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</row>
    <row r="810" spans="1:32" ht="16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</row>
    <row r="811" spans="1:32" ht="16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</row>
    <row r="812" spans="1:32" ht="16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</row>
    <row r="813" spans="1:32" ht="16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</row>
    <row r="814" spans="1:32" ht="16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</row>
    <row r="815" spans="1:32" ht="16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</row>
    <row r="816" spans="1:32" ht="16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</row>
    <row r="817" spans="1:32" ht="16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</row>
    <row r="818" spans="1:32" ht="16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</row>
    <row r="819" spans="1:32" ht="16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</row>
    <row r="820" spans="1:32" ht="16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</row>
    <row r="821" spans="1:32" ht="16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</row>
    <row r="822" spans="1:32" ht="16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</row>
    <row r="823" spans="1:32" ht="16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</row>
    <row r="824" spans="1:32" ht="16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</row>
    <row r="825" spans="1:32" ht="16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</row>
    <row r="826" spans="1:32" ht="16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</row>
    <row r="827" spans="1:32" ht="16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</row>
    <row r="828" spans="1:32" ht="16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</row>
    <row r="829" spans="1:32" ht="16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</row>
    <row r="830" spans="1:32" ht="16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</row>
    <row r="831" spans="1:32" ht="16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</row>
    <row r="832" spans="1:32" ht="16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</row>
    <row r="833" spans="1:32" ht="16.5" customHeight="1">
      <c r="A833" s="13"/>
      <c r="B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</row>
    <row r="834" spans="1:32" ht="16.5" customHeight="1">
      <c r="A834" s="13"/>
      <c r="B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</row>
    <row r="835" spans="1:32" ht="16.5" customHeight="1">
      <c r="A835" s="13"/>
      <c r="B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</row>
    <row r="836" spans="1:32" ht="16.5" customHeight="1">
      <c r="A836" s="13"/>
      <c r="B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</row>
    <row r="837" spans="1:32" ht="16.5" customHeight="1">
      <c r="A837" s="13"/>
      <c r="B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</row>
    <row r="838" spans="1:32" ht="16.5" customHeight="1">
      <c r="A838" s="13"/>
      <c r="B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</row>
    <row r="839" spans="1:32" ht="16.5" customHeight="1">
      <c r="A839" s="13"/>
      <c r="B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</row>
    <row r="840" spans="1:32" ht="16.5" customHeight="1">
      <c r="A840" s="13"/>
      <c r="B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</row>
    <row r="841" spans="1:32" ht="16.5" customHeight="1">
      <c r="A841" s="13"/>
      <c r="B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</row>
  </sheetData>
  <mergeCells count="159">
    <mergeCell ref="G85:H85"/>
    <mergeCell ref="E86:F86"/>
    <mergeCell ref="G86:H86"/>
    <mergeCell ref="A16:A86"/>
    <mergeCell ref="B19:B28"/>
    <mergeCell ref="B30:B38"/>
    <mergeCell ref="B39:B58"/>
    <mergeCell ref="B59:B66"/>
    <mergeCell ref="B67:B73"/>
    <mergeCell ref="B75:B81"/>
    <mergeCell ref="B82:B84"/>
    <mergeCell ref="B85:D86"/>
    <mergeCell ref="C83:D83"/>
    <mergeCell ref="E83:F83"/>
    <mergeCell ref="E74:F74"/>
    <mergeCell ref="C74:D74"/>
    <mergeCell ref="E44:F44"/>
    <mergeCell ref="E46:F46"/>
    <mergeCell ref="C44:D44"/>
    <mergeCell ref="C46:D46"/>
    <mergeCell ref="E64:F64"/>
    <mergeCell ref="C64:D64"/>
    <mergeCell ref="C81:D81"/>
    <mergeCell ref="E81:F81"/>
    <mergeCell ref="C82:D82"/>
    <mergeCell ref="E82:F82"/>
    <mergeCell ref="C84:D84"/>
    <mergeCell ref="E84:F84"/>
    <mergeCell ref="E85:F8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70:D70"/>
    <mergeCell ref="E70:F70"/>
    <mergeCell ref="C71:D71"/>
    <mergeCell ref="E71:F71"/>
    <mergeCell ref="C72:D72"/>
    <mergeCell ref="E72:F72"/>
    <mergeCell ref="C73:D73"/>
    <mergeCell ref="E73:F73"/>
    <mergeCell ref="C75:D75"/>
    <mergeCell ref="E75:F75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42:D42"/>
    <mergeCell ref="E42:F42"/>
    <mergeCell ref="C43:D43"/>
    <mergeCell ref="E43:F43"/>
    <mergeCell ref="C45:D45"/>
    <mergeCell ref="E45:F45"/>
    <mergeCell ref="C47:D47"/>
    <mergeCell ref="E47:F47"/>
    <mergeCell ref="C48:D48"/>
    <mergeCell ref="E48:F48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B17:D17"/>
    <mergeCell ref="E17:F17"/>
    <mergeCell ref="B18:D18"/>
    <mergeCell ref="E18:F18"/>
    <mergeCell ref="C19:D19"/>
    <mergeCell ref="E19:F19"/>
    <mergeCell ref="C20:D20"/>
    <mergeCell ref="E20:F20"/>
    <mergeCell ref="C21:D21"/>
    <mergeCell ref="E21:F21"/>
    <mergeCell ref="A1:B1"/>
    <mergeCell ref="A2:B2"/>
    <mergeCell ref="A3:B3"/>
    <mergeCell ref="A4:B4"/>
    <mergeCell ref="B6:E6"/>
    <mergeCell ref="B13:C13"/>
    <mergeCell ref="C15:D15"/>
    <mergeCell ref="E15:F15"/>
    <mergeCell ref="B16:D16"/>
    <mergeCell ref="E16:F16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968"/>
  <sheetViews>
    <sheetView topLeftCell="A7" zoomScaleNormal="100" workbookViewId="0">
      <selection activeCell="H87" sqref="H87"/>
    </sheetView>
  </sheetViews>
  <sheetFormatPr defaultColWidth="14.42578125" defaultRowHeight="15" customHeight="1"/>
  <cols>
    <col min="1" max="1" width="13.5703125" customWidth="1"/>
    <col min="2" max="2" width="21.140625" customWidth="1"/>
    <col min="3" max="3" width="74.140625" customWidth="1"/>
    <col min="4" max="4" width="11" customWidth="1"/>
    <col min="5" max="5" width="10.28515625" customWidth="1"/>
    <col min="6" max="6" width="20.140625" customWidth="1"/>
    <col min="7" max="8" width="6.140625" customWidth="1"/>
    <col min="9" max="19" width="6" customWidth="1"/>
    <col min="20" max="20" width="6.140625" customWidth="1"/>
    <col min="21" max="22" width="6" customWidth="1"/>
    <col min="23" max="42" width="8.7109375" customWidth="1"/>
  </cols>
  <sheetData>
    <row r="1" spans="1:42" ht="21.4" customHeight="1">
      <c r="A1" s="56" t="s">
        <v>0</v>
      </c>
      <c r="B1" s="57"/>
      <c r="C1" s="12" t="s">
        <v>1</v>
      </c>
      <c r="D1" s="13"/>
      <c r="E1" s="14"/>
      <c r="F1" s="15" t="s">
        <v>5</v>
      </c>
    </row>
    <row r="2" spans="1:42" ht="19.149999999999999" customHeight="1">
      <c r="A2" s="56" t="s">
        <v>3</v>
      </c>
      <c r="B2" s="57"/>
      <c r="C2" s="16" t="s">
        <v>98</v>
      </c>
      <c r="D2" s="13"/>
      <c r="E2" s="17"/>
      <c r="F2" s="18" t="s">
        <v>7</v>
      </c>
    </row>
    <row r="3" spans="1:42" ht="19.149999999999999" customHeight="1">
      <c r="A3" s="56" t="s">
        <v>6</v>
      </c>
      <c r="B3" s="57"/>
      <c r="C3" s="19">
        <v>46127</v>
      </c>
      <c r="D3" s="13"/>
      <c r="E3" s="20"/>
      <c r="F3" s="21" t="s">
        <v>2</v>
      </c>
    </row>
    <row r="4" spans="1:42" ht="19.5" customHeight="1">
      <c r="A4" s="56" t="s">
        <v>8</v>
      </c>
      <c r="B4" s="57"/>
      <c r="C4" s="19">
        <v>46140</v>
      </c>
      <c r="D4" s="13"/>
    </row>
    <row r="5" spans="1:42" ht="19.5" customHeight="1">
      <c r="A5" s="13"/>
      <c r="B5" s="13"/>
      <c r="C5" s="13"/>
      <c r="D5" s="13"/>
    </row>
    <row r="6" spans="1:42" ht="19.149999999999999" customHeight="1">
      <c r="A6" s="13"/>
      <c r="B6" s="93" t="s">
        <v>99</v>
      </c>
      <c r="C6" s="59"/>
      <c r="D6" s="59"/>
      <c r="E6" s="57"/>
    </row>
    <row r="7" spans="1:42" ht="18.399999999999999" customHeight="1">
      <c r="A7" s="13"/>
      <c r="B7" s="22" t="s">
        <v>10</v>
      </c>
      <c r="C7" s="22" t="s">
        <v>11</v>
      </c>
      <c r="D7" s="22" t="s">
        <v>12</v>
      </c>
      <c r="E7" s="22" t="s">
        <v>13</v>
      </c>
    </row>
    <row r="8" spans="1:42" ht="18.399999999999999" customHeight="1">
      <c r="A8" s="13"/>
      <c r="B8" s="23">
        <v>1</v>
      </c>
      <c r="C8" s="16" t="s">
        <v>14</v>
      </c>
      <c r="D8" s="36">
        <f ca="1">SUMIF($E$16:$F$87,"Bảo",$G$16:$G$87)+SUMIF($E$16:$F$87,"All team",$G$16:$G$87)/5+SUMIF($E$16:$F$87,"Bảo,Quân",$G$16:$G$87)/2+SUMIF($E$16:$F$87,"Bảo,Trung",$G$16:$G$87)/2</f>
        <v>34.1</v>
      </c>
      <c r="E8" s="36">
        <f ca="1">SUMIF($E$16:$F$90,"Bảo",$H$16:$H$90)+SUMIF($E$16:$F$90,"All team",$H$16:$H$90)/5+SUMIF($E$16:$F$90,"Bảo,Quân",$H$16:$H$90)/2+SUMIF($E$16:$F$90,"Bảo,Trung",$H$16:$H$90)/2</f>
        <v>32.200000000000003</v>
      </c>
    </row>
    <row r="9" spans="1:42" ht="16.5">
      <c r="A9" s="13"/>
      <c r="B9" s="23">
        <v>2</v>
      </c>
      <c r="C9" s="16" t="s">
        <v>15</v>
      </c>
      <c r="D9" s="36">
        <f ca="1">SUMIF($E$16:$F$87,"Quân",$G$16:$G$87)+SUMIF($E$16:$F$87,"All team",$G$16:$G$87)/5+SUMIF($E$16:$F$87,"Bảo,Quân",$G$16:$G$87)/2+SUMIF($E$16:$F$87,"Quân,Trung",$G$16:$G$87)/2</f>
        <v>46.6</v>
      </c>
      <c r="E9" s="36">
        <f ca="1">SUMIF($E$16:$F$87,"Quân",$H$16:$H$87)+SUMIF($E$16:$F$87,"All team",$H$16:$H$87)/5+SUMIF($E$16:$F$87,"Bảo,Quân",$H$16:$H$87)/2+SUMIF($E$16:$F$87,"Quân,Trung",$H$16:$H$87)/2</f>
        <v>49.2</v>
      </c>
    </row>
    <row r="10" spans="1:42" ht="16.5">
      <c r="A10" s="13"/>
      <c r="B10" s="23">
        <v>3</v>
      </c>
      <c r="C10" s="16" t="s">
        <v>16</v>
      </c>
      <c r="D10" s="36">
        <f ca="1">SUMIF($E$16:$F$87,"Trung*",$G$16:$G$87)+SUMIF($E$16:$F$87,"All team",$G$16:$G$87)/5+SUMIF($E$16:$F$87,"Bảo,Trung",$G$16:$G$87)/2++SUMIF($E$16:$F$87,"Quân,Trung",$G$16:$G$87)/2</f>
        <v>32.1</v>
      </c>
      <c r="E10" s="36">
        <f ca="1">SUMIF($E$16:$F$87,"Trung*",$H$16:$H$87)+SUMIF($E$16:$F$87,"All team",$H$16:$H$87)/5+SUMIF($E$16:$F$87,"Bảo,Trung",$H$16:$H$87)/2++SUMIF($E$16:$F$87,"Quân,Trung",$H$16:$H$87)/2</f>
        <v>27.2</v>
      </c>
    </row>
    <row r="11" spans="1:42" ht="16.5">
      <c r="A11" s="13"/>
      <c r="B11" s="23">
        <v>4</v>
      </c>
      <c r="C11" s="16" t="s">
        <v>17</v>
      </c>
      <c r="D11" s="36">
        <f ca="1">SUMIF($E$16:$F$87,"Hà",$G$16:$G$87)+SUMIF($E$16:$F$87,"All team",$G$16:$G$87)/5</f>
        <v>48.6</v>
      </c>
      <c r="E11" s="36">
        <f ca="1">SUMIF($E$16:$F$87,"Hà",$H$16:$H$87)+SUMIF($E$16:$F$87,"All team",$H$16:$H$87)/5</f>
        <v>43.2</v>
      </c>
    </row>
    <row r="12" spans="1:42" ht="16.5">
      <c r="A12" s="13"/>
      <c r="B12" s="23">
        <v>5</v>
      </c>
      <c r="C12" s="16" t="s">
        <v>18</v>
      </c>
      <c r="D12" s="36">
        <f ca="1">SUMIF($E$16:$F$87,"Luân*",$G$16:$G$87)+SUMIF($E$16:$F$87,"All team",$G$16:$G$87)/5+SUMIF($E$16:$F$87,"Hà,Luân",$G$16:$G$87)/2</f>
        <v>32.6</v>
      </c>
      <c r="E12" s="36">
        <f ca="1">SUMIF($E$16:$F$87,"Luân*",$H$16:$H$87)+SUMIF($E$16:$F$87,"All team",$H$16:$H$87)/5+SUMIF($E$16:$F$87,"Hà,Luân",$H$16:$H$87)/2</f>
        <v>30.2</v>
      </c>
    </row>
    <row r="13" spans="1:42" ht="16.5">
      <c r="A13" s="13"/>
      <c r="B13" s="58" t="s">
        <v>19</v>
      </c>
      <c r="C13" s="57"/>
      <c r="D13" s="24">
        <f ca="1">SUM(D8:D12)</f>
        <v>194</v>
      </c>
      <c r="E13" s="24">
        <f ca="1">SUM(E8:E12)</f>
        <v>182</v>
      </c>
    </row>
    <row r="15" spans="1:42" ht="63.75" customHeight="1">
      <c r="A15" s="37" t="s">
        <v>20</v>
      </c>
      <c r="B15" s="37" t="s">
        <v>21</v>
      </c>
      <c r="C15" s="94" t="s">
        <v>22</v>
      </c>
      <c r="D15" s="61"/>
      <c r="E15" s="94" t="s">
        <v>23</v>
      </c>
      <c r="F15" s="61"/>
      <c r="G15" s="45" t="s">
        <v>12</v>
      </c>
      <c r="H15" s="45" t="s">
        <v>13</v>
      </c>
      <c r="I15" s="46">
        <v>46115</v>
      </c>
      <c r="J15" s="46">
        <v>46116</v>
      </c>
      <c r="K15" s="46">
        <v>46117</v>
      </c>
      <c r="L15" s="46">
        <v>46118</v>
      </c>
      <c r="M15" s="46">
        <v>46119</v>
      </c>
      <c r="N15" s="46">
        <v>46120</v>
      </c>
      <c r="O15" s="46">
        <v>46121</v>
      </c>
      <c r="P15" s="46">
        <v>46122</v>
      </c>
      <c r="Q15" s="46">
        <v>46123</v>
      </c>
      <c r="R15" s="46">
        <v>46124</v>
      </c>
      <c r="S15" s="46">
        <v>46125</v>
      </c>
      <c r="T15" s="46">
        <v>46126</v>
      </c>
      <c r="U15" s="46">
        <v>46127</v>
      </c>
      <c r="V15" s="46">
        <v>46128</v>
      </c>
      <c r="W15" s="38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</row>
    <row r="16" spans="1:42" ht="16.5">
      <c r="A16" s="77" t="s">
        <v>98</v>
      </c>
      <c r="B16" s="62" t="s">
        <v>24</v>
      </c>
      <c r="C16" s="63"/>
      <c r="D16" s="61"/>
      <c r="E16" s="64" t="s">
        <v>25</v>
      </c>
      <c r="F16" s="63"/>
      <c r="G16" s="47">
        <v>10</v>
      </c>
      <c r="H16" s="47">
        <v>10</v>
      </c>
      <c r="I16" s="48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</row>
    <row r="17" spans="1:22" ht="16.5">
      <c r="A17" s="78"/>
      <c r="B17" s="62" t="s">
        <v>100</v>
      </c>
      <c r="C17" s="63"/>
      <c r="D17" s="61"/>
      <c r="E17" s="64" t="s">
        <v>48</v>
      </c>
      <c r="F17" s="63"/>
      <c r="G17" s="47">
        <v>5</v>
      </c>
      <c r="H17" s="47">
        <v>5</v>
      </c>
      <c r="I17" s="47">
        <v>5</v>
      </c>
      <c r="J17" s="48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</row>
    <row r="18" spans="1:22" ht="16.5">
      <c r="A18" s="78"/>
      <c r="B18" s="62" t="s">
        <v>28</v>
      </c>
      <c r="C18" s="63"/>
      <c r="D18" s="61"/>
      <c r="E18" s="64" t="s">
        <v>40</v>
      </c>
      <c r="F18" s="63"/>
      <c r="G18" s="47">
        <v>5</v>
      </c>
      <c r="H18" s="47">
        <v>5</v>
      </c>
      <c r="I18" s="47">
        <v>5</v>
      </c>
      <c r="J18" s="47">
        <v>5</v>
      </c>
      <c r="K18" s="48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</row>
    <row r="19" spans="1:22" ht="17.25" customHeight="1">
      <c r="A19" s="78"/>
      <c r="B19" s="77" t="s">
        <v>30</v>
      </c>
      <c r="C19" s="69" t="s">
        <v>101</v>
      </c>
      <c r="D19" s="69"/>
      <c r="E19" s="64" t="s">
        <v>40</v>
      </c>
      <c r="F19" s="63"/>
      <c r="G19" s="47">
        <v>2</v>
      </c>
      <c r="H19" s="47">
        <v>2</v>
      </c>
      <c r="I19" s="47">
        <v>2</v>
      </c>
      <c r="J19" s="47">
        <v>2</v>
      </c>
      <c r="K19" s="48">
        <v>0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</row>
    <row r="20" spans="1:22" ht="17.25" customHeight="1">
      <c r="A20" s="78"/>
      <c r="B20" s="78"/>
      <c r="C20" s="69" t="s">
        <v>102</v>
      </c>
      <c r="D20" s="69"/>
      <c r="E20" s="64" t="s">
        <v>38</v>
      </c>
      <c r="F20" s="63"/>
      <c r="G20" s="47">
        <v>2</v>
      </c>
      <c r="H20" s="47">
        <v>2</v>
      </c>
      <c r="I20" s="47">
        <v>2</v>
      </c>
      <c r="J20" s="47">
        <v>2</v>
      </c>
      <c r="K20" s="48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</row>
    <row r="21" spans="1:22" ht="15.75" customHeight="1">
      <c r="A21" s="78"/>
      <c r="B21" s="78"/>
      <c r="C21" s="69" t="s">
        <v>103</v>
      </c>
      <c r="D21" s="69"/>
      <c r="E21" s="64" t="s">
        <v>35</v>
      </c>
      <c r="F21" s="63"/>
      <c r="G21" s="47">
        <v>3</v>
      </c>
      <c r="H21" s="47">
        <v>2</v>
      </c>
      <c r="I21" s="47">
        <v>2</v>
      </c>
      <c r="J21" s="47">
        <v>2</v>
      </c>
      <c r="K21" s="48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</row>
    <row r="22" spans="1:22" ht="15.75" customHeight="1">
      <c r="A22" s="78"/>
      <c r="B22" s="78"/>
      <c r="C22" s="96"/>
      <c r="D22" s="97"/>
      <c r="E22" s="64"/>
      <c r="F22" s="67"/>
      <c r="G22" s="47"/>
      <c r="H22" s="47"/>
      <c r="I22" s="47"/>
      <c r="J22" s="47"/>
      <c r="K22" s="49">
        <v>1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</row>
    <row r="23" spans="1:22" ht="15.75" customHeight="1">
      <c r="A23" s="78"/>
      <c r="B23" s="78"/>
      <c r="C23" s="69" t="s">
        <v>104</v>
      </c>
      <c r="D23" s="69"/>
      <c r="E23" s="64" t="s">
        <v>40</v>
      </c>
      <c r="F23" s="63"/>
      <c r="G23" s="47">
        <v>2</v>
      </c>
      <c r="H23" s="47">
        <v>2</v>
      </c>
      <c r="I23" s="47">
        <v>2</v>
      </c>
      <c r="J23" s="47">
        <v>2</v>
      </c>
      <c r="K23" s="48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</row>
    <row r="24" spans="1:22" ht="15.75" customHeight="1">
      <c r="A24" s="78"/>
      <c r="B24" s="78"/>
      <c r="C24" s="69" t="s">
        <v>105</v>
      </c>
      <c r="D24" s="69"/>
      <c r="E24" s="64" t="s">
        <v>32</v>
      </c>
      <c r="F24" s="63"/>
      <c r="G24" s="47">
        <v>1</v>
      </c>
      <c r="H24" s="47">
        <v>2</v>
      </c>
      <c r="I24" s="47">
        <v>2</v>
      </c>
      <c r="J24" s="47">
        <v>1</v>
      </c>
      <c r="K24" s="48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</row>
    <row r="25" spans="1:22" ht="15.75" customHeight="1">
      <c r="A25" s="78"/>
      <c r="B25" s="78"/>
      <c r="C25" s="96"/>
      <c r="D25" s="97"/>
      <c r="E25" s="64"/>
      <c r="F25" s="67"/>
      <c r="G25" s="47"/>
      <c r="H25" s="47"/>
      <c r="I25" s="47"/>
      <c r="J25" s="47"/>
      <c r="K25" s="50">
        <v>1</v>
      </c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</row>
    <row r="26" spans="1:22" ht="15.75" customHeight="1">
      <c r="A26" s="78"/>
      <c r="B26" s="78"/>
      <c r="C26" s="102" t="s">
        <v>205</v>
      </c>
      <c r="D26" s="102"/>
      <c r="E26" s="64" t="s">
        <v>40</v>
      </c>
      <c r="F26" s="63"/>
      <c r="G26" s="47">
        <v>2</v>
      </c>
      <c r="H26" s="47">
        <v>2</v>
      </c>
      <c r="I26" s="47">
        <v>2</v>
      </c>
      <c r="J26" s="47">
        <v>2</v>
      </c>
      <c r="K26" s="48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</row>
    <row r="27" spans="1:22" ht="15.75" customHeight="1">
      <c r="A27" s="78"/>
      <c r="B27" s="78"/>
      <c r="C27" s="102" t="s">
        <v>206</v>
      </c>
      <c r="D27" s="102"/>
      <c r="E27" s="64" t="s">
        <v>48</v>
      </c>
      <c r="F27" s="63"/>
      <c r="G27" s="47">
        <v>2</v>
      </c>
      <c r="H27" s="47">
        <v>2</v>
      </c>
      <c r="I27" s="47">
        <v>2</v>
      </c>
      <c r="J27" s="47">
        <v>2</v>
      </c>
      <c r="K27" s="48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</row>
    <row r="28" spans="1:22" ht="15.75" customHeight="1">
      <c r="A28" s="78"/>
      <c r="B28" s="31"/>
      <c r="C28" s="69" t="s">
        <v>106</v>
      </c>
      <c r="D28" s="69"/>
      <c r="E28" s="64" t="s">
        <v>25</v>
      </c>
      <c r="F28" s="63"/>
      <c r="G28" s="47">
        <v>4</v>
      </c>
      <c r="H28" s="47">
        <v>4</v>
      </c>
      <c r="I28" s="47">
        <v>4</v>
      </c>
      <c r="J28" s="47">
        <v>4</v>
      </c>
      <c r="K28" s="48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</row>
    <row r="29" spans="1:22" ht="15.75" customHeight="1">
      <c r="A29" s="78"/>
      <c r="B29" s="77" t="s">
        <v>43</v>
      </c>
      <c r="C29" s="69" t="s">
        <v>107</v>
      </c>
      <c r="D29" s="69"/>
      <c r="E29" s="64" t="s">
        <v>40</v>
      </c>
      <c r="F29" s="63"/>
      <c r="G29" s="51">
        <v>2</v>
      </c>
      <c r="H29" s="51">
        <v>2</v>
      </c>
      <c r="I29" s="51">
        <v>2</v>
      </c>
      <c r="J29" s="51">
        <v>2</v>
      </c>
      <c r="K29" s="51">
        <v>2</v>
      </c>
      <c r="L29" s="48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</row>
    <row r="30" spans="1:22" ht="15.75" customHeight="1">
      <c r="A30" s="78"/>
      <c r="B30" s="95"/>
      <c r="C30" s="69" t="s">
        <v>108</v>
      </c>
      <c r="D30" s="69"/>
      <c r="E30" s="64" t="s">
        <v>35</v>
      </c>
      <c r="F30" s="63"/>
      <c r="G30" s="51">
        <v>2</v>
      </c>
      <c r="H30" s="51">
        <v>2</v>
      </c>
      <c r="I30" s="51">
        <v>2</v>
      </c>
      <c r="J30" s="51">
        <v>2</v>
      </c>
      <c r="K30" s="51">
        <v>2</v>
      </c>
      <c r="L30" s="48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0</v>
      </c>
      <c r="V30" s="47">
        <v>0</v>
      </c>
    </row>
    <row r="31" spans="1:22" ht="15.75" customHeight="1">
      <c r="A31" s="78"/>
      <c r="B31" s="95"/>
      <c r="C31" s="69" t="s">
        <v>109</v>
      </c>
      <c r="D31" s="69"/>
      <c r="E31" s="64" t="s">
        <v>40</v>
      </c>
      <c r="F31" s="63"/>
      <c r="G31" s="51">
        <v>2</v>
      </c>
      <c r="H31" s="51">
        <v>2</v>
      </c>
      <c r="I31" s="51">
        <v>2</v>
      </c>
      <c r="J31" s="51">
        <v>2</v>
      </c>
      <c r="K31" s="51">
        <v>2</v>
      </c>
      <c r="L31" s="48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</row>
    <row r="32" spans="1:22" ht="15.75" customHeight="1">
      <c r="A32" s="78"/>
      <c r="B32" s="95"/>
      <c r="C32" s="69" t="s">
        <v>110</v>
      </c>
      <c r="D32" s="69"/>
      <c r="E32" s="64" t="s">
        <v>35</v>
      </c>
      <c r="F32" s="63"/>
      <c r="G32" s="51">
        <v>3</v>
      </c>
      <c r="H32" s="51">
        <v>2</v>
      </c>
      <c r="I32" s="51">
        <v>2</v>
      </c>
      <c r="J32" s="51">
        <v>2</v>
      </c>
      <c r="K32" s="51">
        <v>2</v>
      </c>
      <c r="L32" s="48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</row>
    <row r="33" spans="1:22" ht="15.75" customHeight="1">
      <c r="A33" s="78"/>
      <c r="B33" s="95"/>
      <c r="C33" s="96"/>
      <c r="D33" s="97"/>
      <c r="E33" s="64"/>
      <c r="F33" s="67"/>
      <c r="G33" s="51"/>
      <c r="H33" s="51"/>
      <c r="I33" s="51"/>
      <c r="J33" s="51"/>
      <c r="K33" s="51"/>
      <c r="L33" s="49">
        <v>1</v>
      </c>
      <c r="M33" s="47"/>
      <c r="N33" s="47"/>
      <c r="O33" s="47"/>
      <c r="P33" s="47"/>
      <c r="Q33" s="47"/>
      <c r="R33" s="47"/>
      <c r="S33" s="47"/>
      <c r="T33" s="47"/>
      <c r="U33" s="47"/>
      <c r="V33" s="47"/>
    </row>
    <row r="34" spans="1:22" ht="15.75" customHeight="1">
      <c r="A34" s="78"/>
      <c r="B34" s="95"/>
      <c r="C34" s="69" t="s">
        <v>111</v>
      </c>
      <c r="D34" s="69"/>
      <c r="E34" s="64" t="s">
        <v>40</v>
      </c>
      <c r="F34" s="63"/>
      <c r="G34" s="51">
        <v>4</v>
      </c>
      <c r="H34" s="51">
        <v>2</v>
      </c>
      <c r="I34" s="51">
        <v>2</v>
      </c>
      <c r="J34" s="51">
        <v>2</v>
      </c>
      <c r="K34" s="51">
        <v>2</v>
      </c>
      <c r="L34" s="48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</row>
    <row r="35" spans="1:22" ht="15.75" customHeight="1">
      <c r="A35" s="78"/>
      <c r="B35" s="95"/>
      <c r="C35" s="98"/>
      <c r="D35" s="99"/>
      <c r="E35" s="64"/>
      <c r="F35" s="67"/>
      <c r="G35" s="51"/>
      <c r="H35" s="51"/>
      <c r="I35" s="51"/>
      <c r="J35" s="51"/>
      <c r="K35" s="51"/>
      <c r="L35" s="52">
        <v>2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</row>
    <row r="36" spans="1:22" ht="15.75" customHeight="1">
      <c r="A36" s="78"/>
      <c r="B36" s="95"/>
      <c r="C36" s="102" t="s">
        <v>112</v>
      </c>
      <c r="D36" s="102"/>
      <c r="E36" s="64" t="s">
        <v>35</v>
      </c>
      <c r="F36" s="63"/>
      <c r="G36" s="51">
        <v>2</v>
      </c>
      <c r="H36" s="51">
        <v>2</v>
      </c>
      <c r="I36" s="51">
        <v>2</v>
      </c>
      <c r="J36" s="51">
        <v>2</v>
      </c>
      <c r="K36" s="51">
        <v>2</v>
      </c>
      <c r="L36" s="48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</row>
    <row r="37" spans="1:22" ht="15.75" customHeight="1">
      <c r="A37" s="78"/>
      <c r="B37" s="95"/>
      <c r="C37" s="102" t="s">
        <v>113</v>
      </c>
      <c r="D37" s="102"/>
      <c r="E37" s="64" t="s">
        <v>40</v>
      </c>
      <c r="F37" s="63"/>
      <c r="G37" s="51">
        <v>2</v>
      </c>
      <c r="H37" s="51">
        <v>2</v>
      </c>
      <c r="I37" s="51">
        <v>2</v>
      </c>
      <c r="J37" s="51">
        <v>2</v>
      </c>
      <c r="K37" s="51">
        <v>2</v>
      </c>
      <c r="L37" s="51">
        <v>2</v>
      </c>
      <c r="M37" s="48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</v>
      </c>
      <c r="V37" s="47">
        <v>0</v>
      </c>
    </row>
    <row r="38" spans="1:22" ht="15.75" customHeight="1">
      <c r="A38" s="78"/>
      <c r="B38" s="95"/>
      <c r="C38" s="69" t="s">
        <v>114</v>
      </c>
      <c r="D38" s="69"/>
      <c r="E38" s="103" t="s">
        <v>25</v>
      </c>
      <c r="F38" s="96"/>
      <c r="G38" s="51">
        <v>7</v>
      </c>
      <c r="H38" s="51">
        <v>5</v>
      </c>
      <c r="I38" s="51">
        <v>5</v>
      </c>
      <c r="J38" s="51">
        <v>5</v>
      </c>
      <c r="K38" s="51">
        <v>5</v>
      </c>
      <c r="L38" s="51">
        <v>5</v>
      </c>
      <c r="M38" s="48">
        <v>0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</row>
    <row r="39" spans="1:22" ht="15.75" customHeight="1">
      <c r="A39" s="78"/>
      <c r="B39" s="31"/>
      <c r="C39" s="96"/>
      <c r="D39" s="97"/>
      <c r="E39" s="96"/>
      <c r="F39" s="104"/>
      <c r="G39" s="51"/>
      <c r="H39" s="51"/>
      <c r="I39" s="51"/>
      <c r="J39" s="51"/>
      <c r="K39" s="51"/>
      <c r="L39" s="51"/>
      <c r="M39" s="49">
        <v>2</v>
      </c>
      <c r="N39" s="47"/>
      <c r="O39" s="47"/>
      <c r="P39" s="47"/>
      <c r="Q39" s="47"/>
      <c r="R39" s="47"/>
      <c r="S39" s="47"/>
      <c r="T39" s="47"/>
      <c r="U39" s="47"/>
      <c r="V39" s="47"/>
    </row>
    <row r="40" spans="1:22" ht="15.75" customHeight="1">
      <c r="A40" s="78"/>
      <c r="B40" s="77" t="s">
        <v>53</v>
      </c>
      <c r="C40" s="62" t="s">
        <v>115</v>
      </c>
      <c r="D40" s="65"/>
      <c r="E40" s="103" t="s">
        <v>40</v>
      </c>
      <c r="F40" s="96"/>
      <c r="G40" s="51">
        <v>5</v>
      </c>
      <c r="H40" s="51">
        <v>2</v>
      </c>
      <c r="I40" s="51">
        <v>2</v>
      </c>
      <c r="J40" s="51">
        <v>2</v>
      </c>
      <c r="K40" s="51">
        <v>2</v>
      </c>
      <c r="L40" s="51">
        <v>2</v>
      </c>
      <c r="M40" s="51">
        <v>2</v>
      </c>
      <c r="N40" s="51">
        <v>2</v>
      </c>
      <c r="O40" s="48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</row>
    <row r="41" spans="1:22" ht="15.75" customHeight="1">
      <c r="A41" s="78"/>
      <c r="B41" s="95"/>
      <c r="C41" s="64"/>
      <c r="D41" s="66"/>
      <c r="E41" s="96"/>
      <c r="F41" s="104"/>
      <c r="G41" s="51"/>
      <c r="H41" s="51"/>
      <c r="I41" s="51"/>
      <c r="J41" s="51"/>
      <c r="K41" s="51"/>
      <c r="L41" s="51"/>
      <c r="M41" s="51"/>
      <c r="N41" s="51"/>
      <c r="O41" s="49">
        <v>3</v>
      </c>
      <c r="P41" s="47"/>
      <c r="Q41" s="47"/>
      <c r="R41" s="47"/>
      <c r="S41" s="47"/>
      <c r="T41" s="47"/>
      <c r="U41" s="47"/>
      <c r="V41" s="47"/>
    </row>
    <row r="42" spans="1:22" ht="15.75" customHeight="1">
      <c r="A42" s="78"/>
      <c r="B42" s="78"/>
      <c r="C42" s="62" t="s">
        <v>116</v>
      </c>
      <c r="D42" s="61"/>
      <c r="E42" s="103" t="s">
        <v>40</v>
      </c>
      <c r="F42" s="96"/>
      <c r="G42" s="51">
        <v>2</v>
      </c>
      <c r="H42" s="51">
        <v>2</v>
      </c>
      <c r="I42" s="51">
        <v>2</v>
      </c>
      <c r="J42" s="51">
        <v>2</v>
      </c>
      <c r="K42" s="51">
        <v>2</v>
      </c>
      <c r="L42" s="51">
        <v>2</v>
      </c>
      <c r="M42" s="51">
        <v>2</v>
      </c>
      <c r="N42" s="51">
        <v>2</v>
      </c>
      <c r="O42" s="48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</row>
    <row r="43" spans="1:22" ht="15.75" customHeight="1">
      <c r="A43" s="78"/>
      <c r="B43" s="78"/>
      <c r="C43" s="62" t="s">
        <v>117</v>
      </c>
      <c r="D43" s="65"/>
      <c r="E43" s="103" t="s">
        <v>38</v>
      </c>
      <c r="F43" s="96"/>
      <c r="G43" s="47">
        <v>5</v>
      </c>
      <c r="H43" s="47">
        <v>7</v>
      </c>
      <c r="I43" s="47">
        <v>7</v>
      </c>
      <c r="J43" s="47">
        <v>7</v>
      </c>
      <c r="K43" s="47">
        <v>7</v>
      </c>
      <c r="L43" s="47">
        <v>7</v>
      </c>
      <c r="M43" s="47">
        <v>7</v>
      </c>
      <c r="N43" s="47">
        <v>7</v>
      </c>
      <c r="O43" s="47">
        <v>5</v>
      </c>
      <c r="P43" s="48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</row>
    <row r="44" spans="1:22" ht="15.75" customHeight="1">
      <c r="A44" s="78"/>
      <c r="B44" s="78"/>
      <c r="C44" s="64"/>
      <c r="D44" s="66"/>
      <c r="E44" s="64"/>
      <c r="F44" s="67"/>
      <c r="G44" s="51"/>
      <c r="H44" s="51"/>
      <c r="I44" s="51"/>
      <c r="J44" s="51"/>
      <c r="K44" s="51"/>
      <c r="L44" s="51"/>
      <c r="M44" s="51"/>
      <c r="N44" s="51"/>
      <c r="O44" s="51"/>
      <c r="P44" s="44">
        <v>2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</row>
    <row r="45" spans="1:22" ht="15.75" customHeight="1">
      <c r="A45" s="78"/>
      <c r="B45" s="78"/>
      <c r="C45" s="62" t="s">
        <v>118</v>
      </c>
      <c r="D45" s="61"/>
      <c r="E45" s="64" t="s">
        <v>38</v>
      </c>
      <c r="F45" s="63"/>
      <c r="G45" s="51">
        <v>2</v>
      </c>
      <c r="H45" s="51">
        <v>2</v>
      </c>
      <c r="I45" s="51">
        <v>2</v>
      </c>
      <c r="J45" s="51">
        <v>2</v>
      </c>
      <c r="K45" s="51">
        <v>2</v>
      </c>
      <c r="L45" s="51">
        <v>2</v>
      </c>
      <c r="M45" s="51">
        <v>2</v>
      </c>
      <c r="N45" s="51">
        <v>2</v>
      </c>
      <c r="O45" s="51">
        <v>2</v>
      </c>
      <c r="P45" s="48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</row>
    <row r="46" spans="1:22" ht="15.75" customHeight="1">
      <c r="A46" s="78"/>
      <c r="B46" s="78"/>
      <c r="C46" s="62" t="s">
        <v>119</v>
      </c>
      <c r="D46" s="65"/>
      <c r="E46" s="64" t="s">
        <v>65</v>
      </c>
      <c r="F46" s="63"/>
      <c r="G46" s="47">
        <v>5</v>
      </c>
      <c r="H46" s="47">
        <v>6</v>
      </c>
      <c r="I46" s="47">
        <v>6</v>
      </c>
      <c r="J46" s="47">
        <v>6</v>
      </c>
      <c r="K46" s="47">
        <v>6</v>
      </c>
      <c r="L46" s="47">
        <v>6</v>
      </c>
      <c r="M46" s="47">
        <v>6</v>
      </c>
      <c r="N46" s="47">
        <v>6</v>
      </c>
      <c r="O46" s="47">
        <v>6</v>
      </c>
      <c r="P46" s="47">
        <v>5</v>
      </c>
      <c r="Q46" s="48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</row>
    <row r="47" spans="1:22" ht="15.75" customHeight="1">
      <c r="A47" s="78"/>
      <c r="B47" s="78"/>
      <c r="C47" s="64"/>
      <c r="D47" s="66"/>
      <c r="E47" s="64"/>
      <c r="F47" s="6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4">
        <v>1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</row>
    <row r="48" spans="1:22" ht="15.75" customHeight="1">
      <c r="A48" s="78"/>
      <c r="B48" s="78"/>
      <c r="C48" s="62" t="s">
        <v>120</v>
      </c>
      <c r="D48" s="61"/>
      <c r="E48" s="64" t="s">
        <v>38</v>
      </c>
      <c r="F48" s="63"/>
      <c r="G48" s="47">
        <v>4</v>
      </c>
      <c r="H48" s="47">
        <v>4</v>
      </c>
      <c r="I48" s="47">
        <v>4</v>
      </c>
      <c r="J48" s="47">
        <v>4</v>
      </c>
      <c r="K48" s="47">
        <v>4</v>
      </c>
      <c r="L48" s="47">
        <v>4</v>
      </c>
      <c r="M48" s="47">
        <v>4</v>
      </c>
      <c r="N48" s="47">
        <v>4</v>
      </c>
      <c r="O48" s="47">
        <v>4</v>
      </c>
      <c r="P48" s="47">
        <v>4</v>
      </c>
      <c r="Q48" s="48">
        <v>0</v>
      </c>
      <c r="R48" s="47">
        <v>0</v>
      </c>
      <c r="S48" s="47">
        <v>0</v>
      </c>
      <c r="T48" s="47">
        <v>0</v>
      </c>
      <c r="U48" s="47">
        <v>0</v>
      </c>
      <c r="V48" s="47">
        <v>0</v>
      </c>
    </row>
    <row r="49" spans="1:22" ht="15.75" customHeight="1">
      <c r="A49" s="78"/>
      <c r="B49" s="78"/>
      <c r="C49" s="62" t="s">
        <v>121</v>
      </c>
      <c r="D49" s="65"/>
      <c r="E49" s="64" t="s">
        <v>27</v>
      </c>
      <c r="F49" s="63"/>
      <c r="G49" s="47">
        <v>8</v>
      </c>
      <c r="H49" s="47">
        <v>8</v>
      </c>
      <c r="I49" s="47">
        <v>8</v>
      </c>
      <c r="J49" s="47">
        <v>8</v>
      </c>
      <c r="K49" s="47">
        <v>8</v>
      </c>
      <c r="L49" s="47">
        <v>8</v>
      </c>
      <c r="M49" s="47">
        <v>8</v>
      </c>
      <c r="N49" s="47">
        <v>8</v>
      </c>
      <c r="O49" s="47">
        <v>8</v>
      </c>
      <c r="P49" s="48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</row>
    <row r="50" spans="1:22" ht="15.75" customHeight="1">
      <c r="A50" s="78"/>
      <c r="B50" s="78"/>
      <c r="C50" s="62" t="s">
        <v>122</v>
      </c>
      <c r="D50" s="61"/>
      <c r="E50" s="64" t="s">
        <v>32</v>
      </c>
      <c r="F50" s="63"/>
      <c r="G50" s="47">
        <v>9</v>
      </c>
      <c r="H50" s="47">
        <v>4</v>
      </c>
      <c r="I50" s="47">
        <v>4</v>
      </c>
      <c r="J50" s="47">
        <v>4</v>
      </c>
      <c r="K50" s="47">
        <v>4</v>
      </c>
      <c r="L50" s="47">
        <v>4</v>
      </c>
      <c r="M50" s="47">
        <v>4</v>
      </c>
      <c r="N50" s="47">
        <v>4</v>
      </c>
      <c r="O50" s="47">
        <v>4</v>
      </c>
      <c r="P50" s="48">
        <v>0</v>
      </c>
      <c r="Q50" s="47">
        <v>0</v>
      </c>
      <c r="R50" s="47">
        <v>0</v>
      </c>
      <c r="S50" s="47">
        <v>0</v>
      </c>
      <c r="T50" s="47">
        <v>0</v>
      </c>
      <c r="U50" s="47">
        <v>0</v>
      </c>
      <c r="V50" s="47">
        <v>0</v>
      </c>
    </row>
    <row r="51" spans="1:22" ht="15.75" customHeight="1">
      <c r="A51" s="78"/>
      <c r="B51" s="78"/>
      <c r="C51" s="64"/>
      <c r="D51" s="66"/>
      <c r="E51" s="64"/>
      <c r="F51" s="67"/>
      <c r="G51" s="47"/>
      <c r="H51" s="47"/>
      <c r="I51" s="47"/>
      <c r="J51" s="47"/>
      <c r="K51" s="47"/>
      <c r="L51" s="47"/>
      <c r="M51" s="47"/>
      <c r="N51" s="47"/>
      <c r="O51" s="47"/>
      <c r="P51" s="52">
        <v>5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</row>
    <row r="52" spans="1:22" ht="15.75" customHeight="1">
      <c r="A52" s="78"/>
      <c r="B52" s="78"/>
      <c r="C52" s="62" t="s">
        <v>123</v>
      </c>
      <c r="D52" s="65"/>
      <c r="E52" s="64" t="s">
        <v>38</v>
      </c>
      <c r="F52" s="63"/>
      <c r="G52" s="47">
        <v>8</v>
      </c>
      <c r="H52" s="47">
        <v>8</v>
      </c>
      <c r="I52" s="47">
        <v>8</v>
      </c>
      <c r="J52" s="47">
        <v>8</v>
      </c>
      <c r="K52" s="47">
        <v>8</v>
      </c>
      <c r="L52" s="47">
        <v>8</v>
      </c>
      <c r="M52" s="47">
        <v>8</v>
      </c>
      <c r="N52" s="47">
        <v>8</v>
      </c>
      <c r="O52" s="47">
        <v>8</v>
      </c>
      <c r="P52" s="48">
        <v>0</v>
      </c>
      <c r="Q52" s="47">
        <v>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</row>
    <row r="53" spans="1:22" ht="15.75" customHeight="1">
      <c r="A53" s="78"/>
      <c r="B53" s="78"/>
      <c r="C53" s="62" t="s">
        <v>124</v>
      </c>
      <c r="D53" s="61"/>
      <c r="E53" s="64" t="s">
        <v>32</v>
      </c>
      <c r="F53" s="63"/>
      <c r="G53" s="47">
        <v>8</v>
      </c>
      <c r="H53" s="47">
        <v>8</v>
      </c>
      <c r="I53" s="47">
        <v>8</v>
      </c>
      <c r="J53" s="47">
        <v>8</v>
      </c>
      <c r="K53" s="47">
        <v>8</v>
      </c>
      <c r="L53" s="47">
        <v>8</v>
      </c>
      <c r="M53" s="47">
        <v>8</v>
      </c>
      <c r="N53" s="47">
        <v>8</v>
      </c>
      <c r="O53" s="48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</row>
    <row r="54" spans="1:22" ht="15.75" customHeight="1">
      <c r="A54" s="78"/>
      <c r="B54" s="78"/>
      <c r="C54" s="62" t="s">
        <v>125</v>
      </c>
      <c r="D54" s="65"/>
      <c r="E54" s="64" t="s">
        <v>38</v>
      </c>
      <c r="F54" s="63"/>
      <c r="G54" s="47">
        <v>8</v>
      </c>
      <c r="H54" s="47">
        <v>8</v>
      </c>
      <c r="I54" s="47">
        <v>8</v>
      </c>
      <c r="J54" s="47">
        <v>8</v>
      </c>
      <c r="K54" s="47">
        <v>8</v>
      </c>
      <c r="L54" s="47">
        <v>8</v>
      </c>
      <c r="M54" s="47">
        <v>8</v>
      </c>
      <c r="N54" s="47">
        <v>8</v>
      </c>
      <c r="O54" s="47">
        <v>8</v>
      </c>
      <c r="P54" s="47">
        <v>8</v>
      </c>
      <c r="Q54" s="47">
        <v>8</v>
      </c>
      <c r="R54" s="48">
        <v>0</v>
      </c>
      <c r="S54" s="47">
        <v>0</v>
      </c>
      <c r="T54" s="47">
        <v>0</v>
      </c>
      <c r="U54" s="47">
        <v>0</v>
      </c>
      <c r="V54" s="47">
        <v>0</v>
      </c>
    </row>
    <row r="55" spans="1:22" ht="15.75" customHeight="1">
      <c r="A55" s="78"/>
      <c r="B55" s="78"/>
      <c r="C55" s="62" t="s">
        <v>126</v>
      </c>
      <c r="D55" s="61"/>
      <c r="E55" s="64" t="s">
        <v>38</v>
      </c>
      <c r="F55" s="63"/>
      <c r="G55" s="47">
        <v>1.5</v>
      </c>
      <c r="H55" s="47">
        <v>2</v>
      </c>
      <c r="I55" s="47">
        <v>2</v>
      </c>
      <c r="J55" s="47">
        <v>2</v>
      </c>
      <c r="K55" s="47">
        <v>2</v>
      </c>
      <c r="L55" s="47">
        <v>2</v>
      </c>
      <c r="M55" s="47">
        <v>2</v>
      </c>
      <c r="N55" s="47">
        <v>2</v>
      </c>
      <c r="O55" s="47">
        <v>2</v>
      </c>
      <c r="P55" s="47">
        <v>1.5</v>
      </c>
      <c r="Q55" s="48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</row>
    <row r="56" spans="1:22" ht="15.75" customHeight="1">
      <c r="A56" s="78"/>
      <c r="B56" s="78"/>
      <c r="C56" s="108"/>
      <c r="D56" s="109"/>
      <c r="E56" s="64"/>
      <c r="F56" s="6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4">
        <v>0.5</v>
      </c>
      <c r="R56" s="47"/>
      <c r="S56" s="47"/>
      <c r="T56" s="47"/>
      <c r="U56" s="47"/>
      <c r="V56" s="47"/>
    </row>
    <row r="57" spans="1:22" ht="15.75" customHeight="1">
      <c r="A57" s="78"/>
      <c r="B57" s="78"/>
      <c r="C57" s="105" t="s">
        <v>127</v>
      </c>
      <c r="D57" s="65"/>
      <c r="E57" s="64" t="s">
        <v>48</v>
      </c>
      <c r="F57" s="63"/>
      <c r="G57" s="47">
        <v>4.5</v>
      </c>
      <c r="H57" s="47">
        <v>4</v>
      </c>
      <c r="I57" s="47">
        <v>4</v>
      </c>
      <c r="J57" s="47">
        <v>4</v>
      </c>
      <c r="K57" s="47">
        <v>4</v>
      </c>
      <c r="L57" s="47">
        <v>4</v>
      </c>
      <c r="M57" s="47">
        <v>4</v>
      </c>
      <c r="N57" s="47">
        <v>4</v>
      </c>
      <c r="O57" s="47">
        <v>4</v>
      </c>
      <c r="P57" s="47">
        <v>4</v>
      </c>
      <c r="Q57" s="47">
        <v>4</v>
      </c>
      <c r="R57" s="47">
        <v>4</v>
      </c>
      <c r="S57" s="48">
        <v>0</v>
      </c>
      <c r="T57" s="47">
        <v>0</v>
      </c>
      <c r="U57" s="47">
        <v>0</v>
      </c>
      <c r="V57" s="47">
        <v>0</v>
      </c>
    </row>
    <row r="58" spans="1:22" ht="15.75" customHeight="1">
      <c r="A58" s="78"/>
      <c r="B58" s="78"/>
      <c r="C58" s="108"/>
      <c r="D58" s="109"/>
      <c r="E58" s="64"/>
      <c r="F58" s="6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52">
        <v>0.5</v>
      </c>
      <c r="T58" s="47"/>
      <c r="U58" s="47"/>
      <c r="V58" s="47"/>
    </row>
    <row r="59" spans="1:22" ht="15.75" customHeight="1">
      <c r="A59" s="78"/>
      <c r="B59" s="78"/>
      <c r="C59" s="105" t="s">
        <v>128</v>
      </c>
      <c r="D59" s="61"/>
      <c r="E59" s="64" t="s">
        <v>48</v>
      </c>
      <c r="F59" s="67"/>
      <c r="G59" s="47">
        <v>4</v>
      </c>
      <c r="H59" s="47">
        <v>4</v>
      </c>
      <c r="I59" s="47">
        <v>4</v>
      </c>
      <c r="J59" s="47">
        <v>4</v>
      </c>
      <c r="K59" s="47">
        <v>4</v>
      </c>
      <c r="L59" s="47">
        <v>4</v>
      </c>
      <c r="M59" s="47">
        <v>4</v>
      </c>
      <c r="N59" s="47">
        <v>4</v>
      </c>
      <c r="O59" s="47">
        <v>4</v>
      </c>
      <c r="P59" s="47">
        <v>4</v>
      </c>
      <c r="Q59" s="47">
        <v>4</v>
      </c>
      <c r="R59" s="47">
        <v>4</v>
      </c>
      <c r="S59" s="48">
        <v>0</v>
      </c>
      <c r="T59" s="47">
        <v>0</v>
      </c>
      <c r="U59" s="47">
        <v>0</v>
      </c>
      <c r="V59" s="47">
        <v>0</v>
      </c>
    </row>
    <row r="60" spans="1:22" ht="15.75" customHeight="1">
      <c r="A60" s="78"/>
      <c r="B60" s="31"/>
      <c r="C60" s="106" t="s">
        <v>69</v>
      </c>
      <c r="D60" s="107"/>
      <c r="E60" s="64" t="s">
        <v>25</v>
      </c>
      <c r="F60" s="67"/>
      <c r="G60" s="47">
        <v>2</v>
      </c>
      <c r="H60" s="47">
        <v>2</v>
      </c>
      <c r="I60" s="47">
        <v>2</v>
      </c>
      <c r="J60" s="47">
        <v>2</v>
      </c>
      <c r="K60" s="47">
        <v>2</v>
      </c>
      <c r="L60" s="47">
        <v>2</v>
      </c>
      <c r="M60" s="47">
        <v>2</v>
      </c>
      <c r="N60" s="47">
        <v>2</v>
      </c>
      <c r="O60" s="47">
        <v>2</v>
      </c>
      <c r="P60" s="47">
        <v>2</v>
      </c>
      <c r="Q60" s="47">
        <v>2</v>
      </c>
      <c r="R60" s="47">
        <v>2</v>
      </c>
      <c r="S60" s="48">
        <v>0</v>
      </c>
      <c r="T60" s="47">
        <v>0</v>
      </c>
      <c r="U60" s="47">
        <v>0</v>
      </c>
      <c r="V60" s="47">
        <v>0</v>
      </c>
    </row>
    <row r="61" spans="1:22" ht="15.75" customHeight="1">
      <c r="A61" s="78"/>
      <c r="B61" s="77" t="s">
        <v>70</v>
      </c>
      <c r="C61" s="69" t="s">
        <v>129</v>
      </c>
      <c r="D61" s="69"/>
      <c r="E61" s="64" t="s">
        <v>35</v>
      </c>
      <c r="F61" s="63"/>
      <c r="G61" s="47">
        <v>1.5</v>
      </c>
      <c r="H61" s="47">
        <v>2</v>
      </c>
      <c r="I61" s="47">
        <v>2</v>
      </c>
      <c r="J61" s="47">
        <v>2</v>
      </c>
      <c r="K61" s="47">
        <v>2</v>
      </c>
      <c r="L61" s="47">
        <v>2</v>
      </c>
      <c r="M61" s="47">
        <v>2</v>
      </c>
      <c r="N61" s="47">
        <v>2</v>
      </c>
      <c r="O61" s="47">
        <v>1.5</v>
      </c>
      <c r="P61" s="48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</v>
      </c>
      <c r="V61" s="47">
        <v>0</v>
      </c>
    </row>
    <row r="62" spans="1:22" ht="15.75" customHeight="1">
      <c r="A62" s="78"/>
      <c r="B62" s="95"/>
      <c r="C62" s="96"/>
      <c r="D62" s="97"/>
      <c r="E62" s="64"/>
      <c r="F62" s="67"/>
      <c r="G62" s="47"/>
      <c r="H62" s="47"/>
      <c r="I62" s="47"/>
      <c r="J62" s="47"/>
      <c r="K62" s="47"/>
      <c r="L62" s="47"/>
      <c r="M62" s="47"/>
      <c r="N62" s="47"/>
      <c r="O62" s="47"/>
      <c r="P62" s="44">
        <v>0.5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</row>
    <row r="63" spans="1:22" ht="15.75" customHeight="1">
      <c r="A63" s="78"/>
      <c r="B63" s="95"/>
      <c r="C63" s="69" t="s">
        <v>130</v>
      </c>
      <c r="D63" s="69"/>
      <c r="E63" s="64" t="s">
        <v>40</v>
      </c>
      <c r="F63" s="63"/>
      <c r="G63" s="47">
        <v>2</v>
      </c>
      <c r="H63" s="47">
        <v>2</v>
      </c>
      <c r="I63" s="47">
        <v>2</v>
      </c>
      <c r="J63" s="47">
        <v>2</v>
      </c>
      <c r="K63" s="47">
        <v>2</v>
      </c>
      <c r="L63" s="47">
        <v>2</v>
      </c>
      <c r="M63" s="47">
        <v>2</v>
      </c>
      <c r="N63" s="47">
        <v>2</v>
      </c>
      <c r="O63" s="47">
        <v>2</v>
      </c>
      <c r="P63" s="47">
        <v>2</v>
      </c>
      <c r="Q63" s="48">
        <v>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</row>
    <row r="64" spans="1:22" ht="15.75" customHeight="1">
      <c r="A64" s="78"/>
      <c r="B64" s="95"/>
      <c r="C64" s="69" t="s">
        <v>131</v>
      </c>
      <c r="D64" s="69"/>
      <c r="E64" s="64" t="s">
        <v>35</v>
      </c>
      <c r="F64" s="63"/>
      <c r="G64" s="47">
        <v>2</v>
      </c>
      <c r="H64" s="47">
        <v>2</v>
      </c>
      <c r="I64" s="47">
        <v>2</v>
      </c>
      <c r="J64" s="47">
        <v>2</v>
      </c>
      <c r="K64" s="47">
        <v>2</v>
      </c>
      <c r="L64" s="47">
        <v>2</v>
      </c>
      <c r="M64" s="47">
        <v>2</v>
      </c>
      <c r="N64" s="47">
        <v>2</v>
      </c>
      <c r="O64" s="47">
        <v>2</v>
      </c>
      <c r="P64" s="47">
        <v>2</v>
      </c>
      <c r="Q64" s="48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</row>
    <row r="65" spans="1:22" ht="15.75" customHeight="1">
      <c r="A65" s="78"/>
      <c r="B65" s="95"/>
      <c r="C65" s="69" t="s">
        <v>132</v>
      </c>
      <c r="D65" s="69"/>
      <c r="E65" s="64" t="s">
        <v>40</v>
      </c>
      <c r="F65" s="63"/>
      <c r="G65" s="47">
        <v>2</v>
      </c>
      <c r="H65" s="47">
        <v>2</v>
      </c>
      <c r="I65" s="47">
        <v>2</v>
      </c>
      <c r="J65" s="47">
        <v>2</v>
      </c>
      <c r="K65" s="47">
        <v>2</v>
      </c>
      <c r="L65" s="47">
        <v>2</v>
      </c>
      <c r="M65" s="47">
        <v>2</v>
      </c>
      <c r="N65" s="47">
        <v>2</v>
      </c>
      <c r="O65" s="47">
        <v>2</v>
      </c>
      <c r="P65" s="47">
        <v>2</v>
      </c>
      <c r="Q65" s="48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</row>
    <row r="66" spans="1:22" ht="15.75" customHeight="1">
      <c r="A66" s="78"/>
      <c r="B66" s="95"/>
      <c r="C66" s="69" t="s">
        <v>133</v>
      </c>
      <c r="D66" s="69"/>
      <c r="E66" s="64" t="s">
        <v>35</v>
      </c>
      <c r="F66" s="63"/>
      <c r="G66" s="47">
        <v>2</v>
      </c>
      <c r="H66" s="47">
        <v>2</v>
      </c>
      <c r="I66" s="47">
        <v>2</v>
      </c>
      <c r="J66" s="47">
        <v>2</v>
      </c>
      <c r="K66" s="47">
        <v>2</v>
      </c>
      <c r="L66" s="47">
        <v>2</v>
      </c>
      <c r="M66" s="47">
        <v>2</v>
      </c>
      <c r="N66" s="47">
        <v>2</v>
      </c>
      <c r="O66" s="47">
        <v>2</v>
      </c>
      <c r="P66" s="47">
        <v>2</v>
      </c>
      <c r="Q66" s="48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</row>
    <row r="67" spans="1:22" ht="15.75" customHeight="1">
      <c r="A67" s="78"/>
      <c r="B67" s="95"/>
      <c r="C67" s="102" t="s">
        <v>134</v>
      </c>
      <c r="D67" s="102"/>
      <c r="E67" s="64" t="s">
        <v>35</v>
      </c>
      <c r="F67" s="63"/>
      <c r="G67" s="47">
        <v>2</v>
      </c>
      <c r="H67" s="47">
        <v>2</v>
      </c>
      <c r="I67" s="47">
        <v>2</v>
      </c>
      <c r="J67" s="47">
        <v>2</v>
      </c>
      <c r="K67" s="47">
        <v>2</v>
      </c>
      <c r="L67" s="47">
        <v>2</v>
      </c>
      <c r="M67" s="47">
        <v>2</v>
      </c>
      <c r="N67" s="47">
        <v>2</v>
      </c>
      <c r="O67" s="47">
        <v>2</v>
      </c>
      <c r="P67" s="47">
        <v>2</v>
      </c>
      <c r="Q67" s="47">
        <v>2</v>
      </c>
      <c r="R67" s="47">
        <v>2</v>
      </c>
      <c r="S67" s="48">
        <v>0</v>
      </c>
      <c r="T67" s="47">
        <v>0</v>
      </c>
      <c r="U67" s="47">
        <v>0</v>
      </c>
      <c r="V67" s="47">
        <v>0</v>
      </c>
    </row>
    <row r="68" spans="1:22" ht="15.75" customHeight="1">
      <c r="A68" s="78"/>
      <c r="B68" s="95"/>
      <c r="C68" s="102" t="s">
        <v>135</v>
      </c>
      <c r="D68" s="102"/>
      <c r="E68" s="64" t="s">
        <v>40</v>
      </c>
      <c r="F68" s="63"/>
      <c r="G68" s="47">
        <v>2</v>
      </c>
      <c r="H68" s="47">
        <v>2</v>
      </c>
      <c r="I68" s="47">
        <v>2</v>
      </c>
      <c r="J68" s="47">
        <v>2</v>
      </c>
      <c r="K68" s="47">
        <v>2</v>
      </c>
      <c r="L68" s="47">
        <v>2</v>
      </c>
      <c r="M68" s="47">
        <v>2</v>
      </c>
      <c r="N68" s="47">
        <v>2</v>
      </c>
      <c r="O68" s="47">
        <v>2</v>
      </c>
      <c r="P68" s="47">
        <v>2</v>
      </c>
      <c r="Q68" s="47">
        <v>2</v>
      </c>
      <c r="R68" s="47">
        <v>2</v>
      </c>
      <c r="S68" s="47">
        <v>2</v>
      </c>
      <c r="T68" s="48">
        <v>0</v>
      </c>
      <c r="U68" s="47">
        <v>0</v>
      </c>
      <c r="V68" s="47">
        <v>0</v>
      </c>
    </row>
    <row r="69" spans="1:22" ht="15.75" customHeight="1">
      <c r="A69" s="78"/>
      <c r="B69" s="77" t="s">
        <v>78</v>
      </c>
      <c r="C69" s="69" t="s">
        <v>136</v>
      </c>
      <c r="D69" s="69"/>
      <c r="E69" s="64" t="s">
        <v>40</v>
      </c>
      <c r="F69" s="63"/>
      <c r="G69" s="47">
        <v>2</v>
      </c>
      <c r="H69" s="47">
        <v>2</v>
      </c>
      <c r="I69" s="47">
        <v>2</v>
      </c>
      <c r="J69" s="47">
        <v>2</v>
      </c>
      <c r="K69" s="47">
        <v>2</v>
      </c>
      <c r="L69" s="47">
        <v>2</v>
      </c>
      <c r="M69" s="47">
        <v>2</v>
      </c>
      <c r="N69" s="47">
        <v>2</v>
      </c>
      <c r="O69" s="47">
        <v>2</v>
      </c>
      <c r="P69" s="47">
        <v>2</v>
      </c>
      <c r="Q69" s="48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</row>
    <row r="70" spans="1:22" ht="15.75" customHeight="1">
      <c r="A70" s="78"/>
      <c r="B70" s="78"/>
      <c r="C70" s="69" t="s">
        <v>137</v>
      </c>
      <c r="D70" s="69"/>
      <c r="E70" s="64" t="s">
        <v>38</v>
      </c>
      <c r="F70" s="63"/>
      <c r="G70" s="47">
        <v>2</v>
      </c>
      <c r="H70" s="47">
        <v>2</v>
      </c>
      <c r="I70" s="47">
        <v>2</v>
      </c>
      <c r="J70" s="47">
        <v>2</v>
      </c>
      <c r="K70" s="47">
        <v>2</v>
      </c>
      <c r="L70" s="47">
        <v>2</v>
      </c>
      <c r="M70" s="47">
        <v>2</v>
      </c>
      <c r="N70" s="47">
        <v>2</v>
      </c>
      <c r="O70" s="47">
        <v>2</v>
      </c>
      <c r="P70" s="47">
        <v>2</v>
      </c>
      <c r="Q70" s="47">
        <v>2</v>
      </c>
      <c r="R70" s="48">
        <v>0</v>
      </c>
      <c r="S70" s="47">
        <v>0</v>
      </c>
      <c r="T70" s="47">
        <v>0</v>
      </c>
      <c r="U70" s="47">
        <v>0</v>
      </c>
      <c r="V70" s="47">
        <v>0</v>
      </c>
    </row>
    <row r="71" spans="1:22" ht="15.75" customHeight="1">
      <c r="A71" s="78"/>
      <c r="B71" s="78"/>
      <c r="C71" s="69" t="s">
        <v>138</v>
      </c>
      <c r="D71" s="69"/>
      <c r="E71" s="64" t="s">
        <v>65</v>
      </c>
      <c r="F71" s="63"/>
      <c r="G71" s="47">
        <v>2</v>
      </c>
      <c r="H71" s="47">
        <v>2</v>
      </c>
      <c r="I71" s="47">
        <v>2</v>
      </c>
      <c r="J71" s="47">
        <v>2</v>
      </c>
      <c r="K71" s="47">
        <v>2</v>
      </c>
      <c r="L71" s="47">
        <v>2</v>
      </c>
      <c r="M71" s="47">
        <v>2</v>
      </c>
      <c r="N71" s="47">
        <v>2</v>
      </c>
      <c r="O71" s="47">
        <v>2</v>
      </c>
      <c r="P71" s="47">
        <v>2</v>
      </c>
      <c r="Q71" s="47">
        <v>2</v>
      </c>
      <c r="R71" s="47">
        <v>2</v>
      </c>
      <c r="S71" s="48">
        <v>0</v>
      </c>
      <c r="T71" s="47">
        <v>0</v>
      </c>
      <c r="U71" s="47">
        <v>0</v>
      </c>
      <c r="V71" s="47">
        <v>0</v>
      </c>
    </row>
    <row r="72" spans="1:22" ht="15.75" customHeight="1">
      <c r="A72" s="78"/>
      <c r="B72" s="78"/>
      <c r="C72" s="69" t="s">
        <v>139</v>
      </c>
      <c r="D72" s="69"/>
      <c r="E72" s="64" t="s">
        <v>27</v>
      </c>
      <c r="F72" s="63"/>
      <c r="G72" s="47">
        <v>3</v>
      </c>
      <c r="H72" s="47">
        <v>2</v>
      </c>
      <c r="I72" s="47">
        <v>2</v>
      </c>
      <c r="J72" s="47">
        <v>2</v>
      </c>
      <c r="K72" s="47">
        <v>2</v>
      </c>
      <c r="L72" s="47">
        <v>2</v>
      </c>
      <c r="M72" s="47">
        <v>2</v>
      </c>
      <c r="N72" s="47">
        <v>2</v>
      </c>
      <c r="O72" s="47">
        <v>2</v>
      </c>
      <c r="P72" s="47">
        <v>2</v>
      </c>
      <c r="Q72" s="47">
        <v>2</v>
      </c>
      <c r="R72" s="48">
        <v>0</v>
      </c>
      <c r="S72" s="47">
        <v>0</v>
      </c>
      <c r="T72" s="47">
        <v>0</v>
      </c>
      <c r="U72" s="47">
        <v>0</v>
      </c>
      <c r="V72" s="47">
        <v>0</v>
      </c>
    </row>
    <row r="73" spans="1:22" ht="15.75" customHeight="1">
      <c r="A73" s="78"/>
      <c r="B73" s="78"/>
      <c r="C73" s="96"/>
      <c r="D73" s="97"/>
      <c r="E73" s="100"/>
      <c r="F73" s="101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9">
        <v>1</v>
      </c>
      <c r="S73" s="47"/>
      <c r="T73" s="47"/>
      <c r="U73" s="47"/>
      <c r="V73" s="47"/>
    </row>
    <row r="74" spans="1:22" ht="15.75" customHeight="1">
      <c r="A74" s="78"/>
      <c r="B74" s="78"/>
      <c r="C74" s="69" t="s">
        <v>140</v>
      </c>
      <c r="D74" s="69"/>
      <c r="E74" s="64" t="s">
        <v>82</v>
      </c>
      <c r="F74" s="63"/>
      <c r="G74" s="47">
        <v>4</v>
      </c>
      <c r="H74" s="47">
        <v>4</v>
      </c>
      <c r="I74" s="47">
        <v>4</v>
      </c>
      <c r="J74" s="47">
        <v>4</v>
      </c>
      <c r="K74" s="47">
        <v>4</v>
      </c>
      <c r="L74" s="47">
        <v>4</v>
      </c>
      <c r="M74" s="47">
        <v>4</v>
      </c>
      <c r="N74" s="47">
        <v>4</v>
      </c>
      <c r="O74" s="47">
        <v>4</v>
      </c>
      <c r="P74" s="47">
        <v>4</v>
      </c>
      <c r="Q74" s="47">
        <v>4</v>
      </c>
      <c r="R74" s="48">
        <v>0</v>
      </c>
      <c r="S74" s="47">
        <v>0</v>
      </c>
      <c r="T74" s="47">
        <v>0</v>
      </c>
      <c r="U74" s="47">
        <v>0</v>
      </c>
      <c r="V74" s="47">
        <v>0</v>
      </c>
    </row>
    <row r="75" spans="1:22" ht="15.75" customHeight="1">
      <c r="A75" s="78"/>
      <c r="B75" s="78"/>
      <c r="C75" s="102" t="s">
        <v>141</v>
      </c>
      <c r="D75" s="102"/>
      <c r="E75" s="110" t="s">
        <v>38</v>
      </c>
      <c r="F75" s="111"/>
      <c r="G75" s="53">
        <v>2</v>
      </c>
      <c r="H75" s="53">
        <v>2</v>
      </c>
      <c r="I75" s="53">
        <v>2</v>
      </c>
      <c r="J75" s="53">
        <v>2</v>
      </c>
      <c r="K75" s="53">
        <v>2</v>
      </c>
      <c r="L75" s="53">
        <v>2</v>
      </c>
      <c r="M75" s="53">
        <v>2</v>
      </c>
      <c r="N75" s="53">
        <v>2</v>
      </c>
      <c r="O75" s="53">
        <v>2</v>
      </c>
      <c r="P75" s="53">
        <v>2</v>
      </c>
      <c r="Q75" s="53">
        <v>2</v>
      </c>
      <c r="R75" s="53">
        <v>2</v>
      </c>
      <c r="S75" s="53">
        <v>2</v>
      </c>
      <c r="T75" s="48">
        <v>0</v>
      </c>
      <c r="U75" s="47">
        <v>0</v>
      </c>
      <c r="V75" s="47">
        <v>0</v>
      </c>
    </row>
    <row r="76" spans="1:22" ht="15.75" customHeight="1">
      <c r="A76" s="78"/>
      <c r="B76" s="79"/>
      <c r="C76" s="102" t="s">
        <v>142</v>
      </c>
      <c r="D76" s="102"/>
      <c r="E76" s="64" t="s">
        <v>48</v>
      </c>
      <c r="F76" s="63"/>
      <c r="G76" s="47">
        <v>3</v>
      </c>
      <c r="H76" s="47">
        <v>2</v>
      </c>
      <c r="I76" s="53">
        <v>2</v>
      </c>
      <c r="J76" s="53">
        <v>2</v>
      </c>
      <c r="K76" s="53">
        <v>2</v>
      </c>
      <c r="L76" s="53">
        <v>2</v>
      </c>
      <c r="M76" s="53">
        <v>2</v>
      </c>
      <c r="N76" s="53">
        <v>2</v>
      </c>
      <c r="O76" s="53">
        <v>2</v>
      </c>
      <c r="P76" s="53">
        <v>2</v>
      </c>
      <c r="Q76" s="53">
        <v>2</v>
      </c>
      <c r="R76" s="53">
        <v>2</v>
      </c>
      <c r="S76" s="53">
        <v>2</v>
      </c>
      <c r="T76" s="53">
        <v>2</v>
      </c>
      <c r="U76" s="48">
        <v>0</v>
      </c>
      <c r="V76" s="47">
        <v>0</v>
      </c>
    </row>
    <row r="77" spans="1:22" ht="15.75" customHeight="1">
      <c r="A77" s="78"/>
      <c r="B77" s="31"/>
      <c r="C77" s="96"/>
      <c r="D77" s="97"/>
      <c r="E77" s="64"/>
      <c r="F77" s="6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52">
        <v>1</v>
      </c>
      <c r="V77" s="47"/>
    </row>
    <row r="78" spans="1:22" ht="15.75" customHeight="1">
      <c r="A78" s="78"/>
      <c r="B78" s="77" t="s">
        <v>87</v>
      </c>
      <c r="C78" s="69" t="s">
        <v>143</v>
      </c>
      <c r="D78" s="69"/>
      <c r="E78" s="64" t="s">
        <v>35</v>
      </c>
      <c r="F78" s="63"/>
      <c r="G78" s="47">
        <v>2</v>
      </c>
      <c r="H78" s="47">
        <v>2</v>
      </c>
      <c r="I78" s="47">
        <v>2</v>
      </c>
      <c r="J78" s="47">
        <v>2</v>
      </c>
      <c r="K78" s="47">
        <v>2</v>
      </c>
      <c r="L78" s="47">
        <v>2</v>
      </c>
      <c r="M78" s="47">
        <v>2</v>
      </c>
      <c r="N78" s="47">
        <v>2</v>
      </c>
      <c r="O78" s="47">
        <v>2</v>
      </c>
      <c r="P78" s="47">
        <v>2</v>
      </c>
      <c r="Q78" s="47">
        <v>2</v>
      </c>
      <c r="R78" s="48">
        <v>0</v>
      </c>
      <c r="S78" s="47">
        <v>0</v>
      </c>
      <c r="T78" s="47">
        <v>0</v>
      </c>
      <c r="U78" s="47">
        <v>0</v>
      </c>
      <c r="V78" s="47">
        <v>0</v>
      </c>
    </row>
    <row r="79" spans="1:22" ht="15.75" customHeight="1">
      <c r="A79" s="78"/>
      <c r="B79" s="78"/>
      <c r="C79" s="69" t="s">
        <v>144</v>
      </c>
      <c r="D79" s="69"/>
      <c r="E79" s="64" t="s">
        <v>40</v>
      </c>
      <c r="F79" s="63"/>
      <c r="G79" s="47">
        <v>2</v>
      </c>
      <c r="H79" s="47">
        <v>2</v>
      </c>
      <c r="I79" s="47">
        <v>2</v>
      </c>
      <c r="J79" s="47">
        <v>2</v>
      </c>
      <c r="K79" s="47">
        <v>2</v>
      </c>
      <c r="L79" s="47">
        <v>2</v>
      </c>
      <c r="M79" s="47">
        <v>2</v>
      </c>
      <c r="N79" s="47">
        <v>2</v>
      </c>
      <c r="O79" s="47">
        <v>2</v>
      </c>
      <c r="P79" s="47">
        <v>2</v>
      </c>
      <c r="Q79" s="47">
        <v>2</v>
      </c>
      <c r="R79" s="47">
        <v>2</v>
      </c>
      <c r="S79" s="48">
        <v>0</v>
      </c>
      <c r="T79" s="47">
        <v>0</v>
      </c>
      <c r="U79" s="47">
        <v>0</v>
      </c>
      <c r="V79" s="47">
        <v>0</v>
      </c>
    </row>
    <row r="80" spans="1:22" ht="15.75" customHeight="1">
      <c r="A80" s="78"/>
      <c r="B80" s="78"/>
      <c r="C80" s="69" t="s">
        <v>145</v>
      </c>
      <c r="D80" s="69"/>
      <c r="E80" s="64" t="s">
        <v>35</v>
      </c>
      <c r="F80" s="63"/>
      <c r="G80" s="47">
        <v>2</v>
      </c>
      <c r="H80" s="47">
        <v>2</v>
      </c>
      <c r="I80" s="47">
        <v>2</v>
      </c>
      <c r="J80" s="47">
        <v>2</v>
      </c>
      <c r="K80" s="47">
        <v>2</v>
      </c>
      <c r="L80" s="47">
        <v>2</v>
      </c>
      <c r="M80" s="47">
        <v>2</v>
      </c>
      <c r="N80" s="47">
        <v>2</v>
      </c>
      <c r="O80" s="47">
        <v>2</v>
      </c>
      <c r="P80" s="47">
        <v>2</v>
      </c>
      <c r="Q80" s="47">
        <v>2</v>
      </c>
      <c r="R80" s="47">
        <v>2</v>
      </c>
      <c r="S80" s="47">
        <v>2</v>
      </c>
      <c r="T80" s="48">
        <v>0</v>
      </c>
      <c r="U80" s="47">
        <v>0</v>
      </c>
      <c r="V80" s="47">
        <v>0</v>
      </c>
    </row>
    <row r="81" spans="1:22" ht="15.75" customHeight="1">
      <c r="A81" s="78"/>
      <c r="B81" s="78"/>
      <c r="C81" s="69" t="s">
        <v>146</v>
      </c>
      <c r="D81" s="69"/>
      <c r="E81" s="64" t="s">
        <v>40</v>
      </c>
      <c r="F81" s="63"/>
      <c r="G81" s="47">
        <v>2</v>
      </c>
      <c r="H81" s="47">
        <v>2</v>
      </c>
      <c r="I81" s="47">
        <v>2</v>
      </c>
      <c r="J81" s="47">
        <v>2</v>
      </c>
      <c r="K81" s="47">
        <v>2</v>
      </c>
      <c r="L81" s="47">
        <v>2</v>
      </c>
      <c r="M81" s="47">
        <v>2</v>
      </c>
      <c r="N81" s="47">
        <v>2</v>
      </c>
      <c r="O81" s="47">
        <v>2</v>
      </c>
      <c r="P81" s="47">
        <v>2</v>
      </c>
      <c r="Q81" s="47">
        <v>2</v>
      </c>
      <c r="R81" s="47">
        <v>2</v>
      </c>
      <c r="S81" s="48">
        <v>0</v>
      </c>
      <c r="T81" s="47">
        <v>0</v>
      </c>
      <c r="U81" s="47">
        <v>0</v>
      </c>
      <c r="V81" s="47">
        <v>0</v>
      </c>
    </row>
    <row r="82" spans="1:22" ht="15.75" customHeight="1">
      <c r="A82" s="78"/>
      <c r="B82" s="78"/>
      <c r="C82" s="69" t="s">
        <v>147</v>
      </c>
      <c r="D82" s="69"/>
      <c r="E82" s="64" t="s">
        <v>35</v>
      </c>
      <c r="F82" s="63"/>
      <c r="G82" s="47">
        <v>2.5</v>
      </c>
      <c r="H82" s="47">
        <v>2</v>
      </c>
      <c r="I82" s="47">
        <v>2</v>
      </c>
      <c r="J82" s="47">
        <v>2</v>
      </c>
      <c r="K82" s="47">
        <v>2</v>
      </c>
      <c r="L82" s="47">
        <v>2</v>
      </c>
      <c r="M82" s="47">
        <v>2</v>
      </c>
      <c r="N82" s="47">
        <v>2</v>
      </c>
      <c r="O82" s="47">
        <v>2</v>
      </c>
      <c r="P82" s="47">
        <v>2</v>
      </c>
      <c r="Q82" s="47">
        <v>2</v>
      </c>
      <c r="R82" s="47">
        <v>2</v>
      </c>
      <c r="S82" s="48">
        <v>0</v>
      </c>
      <c r="T82" s="47">
        <v>0</v>
      </c>
      <c r="U82" s="47">
        <v>0</v>
      </c>
      <c r="V82" s="47">
        <v>0</v>
      </c>
    </row>
    <row r="83" spans="1:22" ht="15.75" customHeight="1">
      <c r="A83" s="78"/>
      <c r="B83" s="78"/>
      <c r="C83" s="98"/>
      <c r="D83" s="99"/>
      <c r="E83" s="64"/>
      <c r="F83" s="6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52">
        <v>0.5</v>
      </c>
      <c r="T83" s="47"/>
      <c r="U83" s="47"/>
      <c r="V83" s="47"/>
    </row>
    <row r="84" spans="1:22" ht="15.75" customHeight="1">
      <c r="A84" s="78"/>
      <c r="B84" s="78"/>
      <c r="C84" s="102" t="s">
        <v>148</v>
      </c>
      <c r="D84" s="102"/>
      <c r="E84" s="64" t="s">
        <v>35</v>
      </c>
      <c r="F84" s="63"/>
      <c r="G84" s="47">
        <v>2</v>
      </c>
      <c r="H84" s="47">
        <v>2</v>
      </c>
      <c r="I84" s="47">
        <v>2</v>
      </c>
      <c r="J84" s="47">
        <v>2</v>
      </c>
      <c r="K84" s="47">
        <v>2</v>
      </c>
      <c r="L84" s="47">
        <v>2</v>
      </c>
      <c r="M84" s="47">
        <v>2</v>
      </c>
      <c r="N84" s="47">
        <v>2</v>
      </c>
      <c r="O84" s="47">
        <v>2</v>
      </c>
      <c r="P84" s="47">
        <v>2</v>
      </c>
      <c r="Q84" s="47">
        <v>2</v>
      </c>
      <c r="R84" s="47">
        <v>2</v>
      </c>
      <c r="S84" s="47">
        <v>2</v>
      </c>
      <c r="T84" s="47">
        <v>2</v>
      </c>
      <c r="U84" s="48">
        <v>0</v>
      </c>
      <c r="V84" s="47">
        <v>0</v>
      </c>
    </row>
    <row r="85" spans="1:22" ht="15.75" customHeight="1">
      <c r="A85" s="78"/>
      <c r="B85" s="79"/>
      <c r="C85" s="102" t="s">
        <v>149</v>
      </c>
      <c r="D85" s="102"/>
      <c r="E85" s="64" t="s">
        <v>40</v>
      </c>
      <c r="F85" s="63"/>
      <c r="G85" s="47">
        <v>2</v>
      </c>
      <c r="H85" s="47">
        <v>2</v>
      </c>
      <c r="I85" s="47">
        <v>2</v>
      </c>
      <c r="J85" s="47">
        <v>2</v>
      </c>
      <c r="K85" s="47">
        <v>2</v>
      </c>
      <c r="L85" s="47">
        <v>2</v>
      </c>
      <c r="M85" s="47">
        <v>2</v>
      </c>
      <c r="N85" s="47">
        <v>2</v>
      </c>
      <c r="O85" s="47">
        <v>2</v>
      </c>
      <c r="P85" s="47">
        <v>2</v>
      </c>
      <c r="Q85" s="47">
        <v>2</v>
      </c>
      <c r="R85" s="47">
        <v>2</v>
      </c>
      <c r="S85" s="47">
        <v>2</v>
      </c>
      <c r="T85" s="47">
        <v>2</v>
      </c>
      <c r="U85" s="48">
        <v>0</v>
      </c>
      <c r="V85" s="47">
        <v>0</v>
      </c>
    </row>
    <row r="86" spans="1:22" ht="15.75" customHeight="1">
      <c r="A86" s="78"/>
      <c r="B86" s="77" t="s">
        <v>150</v>
      </c>
      <c r="C86" s="70" t="s">
        <v>151</v>
      </c>
      <c r="D86" s="71"/>
      <c r="E86" s="64" t="s">
        <v>25</v>
      </c>
      <c r="F86" s="63"/>
      <c r="G86" s="47">
        <v>5</v>
      </c>
      <c r="H86" s="47">
        <v>5</v>
      </c>
      <c r="I86" s="47">
        <v>5</v>
      </c>
      <c r="J86" s="47">
        <v>5</v>
      </c>
      <c r="K86" s="47">
        <v>5</v>
      </c>
      <c r="L86" s="47">
        <v>5</v>
      </c>
      <c r="M86" s="47">
        <v>5</v>
      </c>
      <c r="N86" s="47">
        <v>5</v>
      </c>
      <c r="O86" s="47">
        <v>5</v>
      </c>
      <c r="P86" s="47">
        <v>5</v>
      </c>
      <c r="Q86" s="47">
        <v>5</v>
      </c>
      <c r="R86" s="47">
        <v>5</v>
      </c>
      <c r="S86" s="47">
        <v>5</v>
      </c>
      <c r="T86" s="47">
        <v>5</v>
      </c>
      <c r="U86" s="47">
        <v>5</v>
      </c>
      <c r="V86" s="48">
        <v>0</v>
      </c>
    </row>
    <row r="87" spans="1:22" ht="15.75" customHeight="1">
      <c r="A87" s="78"/>
      <c r="B87" s="79"/>
      <c r="C87" s="72" t="s">
        <v>152</v>
      </c>
      <c r="D87" s="73"/>
      <c r="E87" s="64" t="s">
        <v>25</v>
      </c>
      <c r="F87" s="63"/>
      <c r="G87" s="47">
        <v>5</v>
      </c>
      <c r="H87" s="47">
        <v>5</v>
      </c>
      <c r="I87" s="47">
        <v>5</v>
      </c>
      <c r="J87" s="47">
        <v>5</v>
      </c>
      <c r="K87" s="47">
        <v>5</v>
      </c>
      <c r="L87" s="47">
        <v>5</v>
      </c>
      <c r="M87" s="47">
        <v>5</v>
      </c>
      <c r="N87" s="47">
        <v>5</v>
      </c>
      <c r="O87" s="47">
        <v>5</v>
      </c>
      <c r="P87" s="47">
        <v>5</v>
      </c>
      <c r="Q87" s="47">
        <v>5</v>
      </c>
      <c r="R87" s="47">
        <v>5</v>
      </c>
      <c r="S87" s="47">
        <v>5</v>
      </c>
      <c r="T87" s="47">
        <v>5</v>
      </c>
      <c r="U87" s="47">
        <v>5</v>
      </c>
      <c r="V87" s="48">
        <v>0</v>
      </c>
    </row>
    <row r="88" spans="1:22" ht="15.75" customHeight="1">
      <c r="A88" s="78"/>
      <c r="B88" s="115" t="s">
        <v>19</v>
      </c>
      <c r="C88" s="116"/>
      <c r="D88" s="117"/>
      <c r="E88" s="74" t="s">
        <v>12</v>
      </c>
      <c r="F88" s="63"/>
      <c r="G88" s="112">
        <f>SUM(G16:G87)</f>
        <v>194</v>
      </c>
      <c r="H88" s="76"/>
      <c r="I88" s="47">
        <f>SUM(I16:I87)</f>
        <v>172</v>
      </c>
      <c r="J88" s="47">
        <f>SUM(J16:J87)</f>
        <v>166</v>
      </c>
      <c r="K88" s="47">
        <f>SUM(K16:K87)-K25</f>
        <v>145</v>
      </c>
      <c r="L88" s="47">
        <f>SUM(L16:L87)</f>
        <v>135</v>
      </c>
      <c r="M88" s="47">
        <f>SUM(M16:M87)</f>
        <v>127</v>
      </c>
      <c r="N88" s="47">
        <f>SUM(N16:N87)</f>
        <v>125</v>
      </c>
      <c r="O88" s="47">
        <f>SUM(O16:O87)</f>
        <v>113.5</v>
      </c>
      <c r="P88" s="47">
        <f>SUM(P16:P87)-P62-P44</f>
        <v>85.5</v>
      </c>
      <c r="Q88" s="47">
        <f>SUM(Q16:Q87)-Q56-Q47</f>
        <v>60</v>
      </c>
      <c r="R88" s="47">
        <f>SUM(R16:R87)</f>
        <v>43</v>
      </c>
      <c r="S88" s="47">
        <f>SUM(S16:S87)</f>
        <v>23</v>
      </c>
      <c r="T88" s="47">
        <f>SUM(T16:T87)</f>
        <v>16</v>
      </c>
      <c r="U88" s="47">
        <f>SUM(U16:U87)</f>
        <v>11</v>
      </c>
      <c r="V88" s="47">
        <f>SUM(V16:V87)</f>
        <v>0</v>
      </c>
    </row>
    <row r="89" spans="1:22" ht="15.75" customHeight="1">
      <c r="A89" s="79"/>
      <c r="B89" s="82"/>
      <c r="C89" s="118"/>
      <c r="D89" s="119"/>
      <c r="E89" s="74" t="s">
        <v>13</v>
      </c>
      <c r="F89" s="63"/>
      <c r="G89" s="112">
        <f>SUM(H16:H87)</f>
        <v>182</v>
      </c>
      <c r="H89" s="76"/>
      <c r="I89" s="47">
        <f>SUM(I16:I87)</f>
        <v>172</v>
      </c>
      <c r="J89" s="47">
        <f>SUM(J16:J87)+J24</f>
        <v>167</v>
      </c>
      <c r="K89" s="47">
        <f>SUM(K16:K87)-K25-K22</f>
        <v>144</v>
      </c>
      <c r="L89" s="47">
        <f>SUM(L16:L87)-L35-L33</f>
        <v>132</v>
      </c>
      <c r="M89" s="47">
        <f>SUM(M16:M87)-M39</f>
        <v>125</v>
      </c>
      <c r="N89" s="47">
        <f>SUM(N16:N87)</f>
        <v>125</v>
      </c>
      <c r="O89" s="47">
        <f>SUM(O16:O87)-O41+P44+P62</f>
        <v>113</v>
      </c>
      <c r="P89" s="47">
        <f>SUM(P16:P87)-P62-P51-P44+Q56+Q47</f>
        <v>82</v>
      </c>
      <c r="Q89" s="47">
        <f>SUM(Q16:Q87)-Q47-Q56</f>
        <v>60</v>
      </c>
      <c r="R89" s="47">
        <f>SUM(R16:R87)-R73</f>
        <v>42</v>
      </c>
      <c r="S89" s="47">
        <f>SUM(S16:S87)-S58-S83</f>
        <v>22</v>
      </c>
      <c r="T89" s="47">
        <f>SUM(T16:T87)</f>
        <v>16</v>
      </c>
      <c r="U89" s="47">
        <f>SUM(U16:U87)-U77</f>
        <v>10</v>
      </c>
      <c r="V89" s="47">
        <f>SUM(V17:V88)</f>
        <v>0</v>
      </c>
    </row>
    <row r="90" spans="1:22" ht="15.75" customHeight="1"/>
    <row r="91" spans="1:22" ht="15.75" customHeight="1"/>
    <row r="92" spans="1:22" ht="15.75" customHeight="1"/>
    <row r="93" spans="1:22" ht="15.75" customHeight="1"/>
    <row r="94" spans="1:22" ht="15.75" customHeight="1"/>
    <row r="95" spans="1:22" ht="15.75" customHeight="1"/>
    <row r="96" spans="1:22" ht="15.75" customHeight="1"/>
    <row r="97" spans="3:4" ht="15.75" customHeight="1"/>
    <row r="98" spans="3:4" ht="15.75" customHeight="1"/>
    <row r="99" spans="3:4" ht="15.75" customHeight="1"/>
    <row r="100" spans="3:4" ht="15.75" customHeight="1"/>
    <row r="101" spans="3:4" ht="15.75" customHeight="1"/>
    <row r="102" spans="3:4" ht="15.75" customHeight="1"/>
    <row r="103" spans="3:4" ht="15.75" customHeight="1"/>
    <row r="104" spans="3:4" ht="15.75" customHeight="1"/>
    <row r="105" spans="3:4" ht="15.75" customHeight="1"/>
    <row r="106" spans="3:4" ht="15.75" customHeight="1"/>
    <row r="107" spans="3:4" ht="15.75" customHeight="1"/>
    <row r="108" spans="3:4" ht="15.75" customHeight="1"/>
    <row r="109" spans="3:4" ht="15.75" customHeight="1"/>
    <row r="110" spans="3:4" ht="15.75" customHeight="1">
      <c r="C110" s="113"/>
      <c r="D110" s="114"/>
    </row>
    <row r="111" spans="3:4" ht="15.75" customHeight="1"/>
    <row r="112" spans="3:4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166">
    <mergeCell ref="C86:D86"/>
    <mergeCell ref="E86:F86"/>
    <mergeCell ref="C87:D87"/>
    <mergeCell ref="E87:F87"/>
    <mergeCell ref="E88:F88"/>
    <mergeCell ref="G88:H88"/>
    <mergeCell ref="E89:F89"/>
    <mergeCell ref="G89:H89"/>
    <mergeCell ref="C110:D110"/>
    <mergeCell ref="B88:D89"/>
    <mergeCell ref="C80:D80"/>
    <mergeCell ref="E80:F80"/>
    <mergeCell ref="C81:D81"/>
    <mergeCell ref="E81:F81"/>
    <mergeCell ref="C82:D82"/>
    <mergeCell ref="E82:F82"/>
    <mergeCell ref="C84:D84"/>
    <mergeCell ref="E84:F84"/>
    <mergeCell ref="C85:D85"/>
    <mergeCell ref="E85:F85"/>
    <mergeCell ref="E83:F83"/>
    <mergeCell ref="C83:D83"/>
    <mergeCell ref="C74:D74"/>
    <mergeCell ref="E74:F74"/>
    <mergeCell ref="C75:D75"/>
    <mergeCell ref="E75:F75"/>
    <mergeCell ref="C76:D76"/>
    <mergeCell ref="E76:F76"/>
    <mergeCell ref="C78:D78"/>
    <mergeCell ref="E78:F78"/>
    <mergeCell ref="C79:D79"/>
    <mergeCell ref="E79:F79"/>
    <mergeCell ref="E77:F77"/>
    <mergeCell ref="C77:D7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55:D55"/>
    <mergeCell ref="E55:F55"/>
    <mergeCell ref="C57:D57"/>
    <mergeCell ref="E57:F57"/>
    <mergeCell ref="C59:D59"/>
    <mergeCell ref="E59:F59"/>
    <mergeCell ref="C60:D60"/>
    <mergeCell ref="E60:F60"/>
    <mergeCell ref="C61:D61"/>
    <mergeCell ref="E61:F61"/>
    <mergeCell ref="C56:D56"/>
    <mergeCell ref="E56:F56"/>
    <mergeCell ref="E58:F58"/>
    <mergeCell ref="C58:D58"/>
    <mergeCell ref="C49:D49"/>
    <mergeCell ref="E49:F49"/>
    <mergeCell ref="C50:D50"/>
    <mergeCell ref="E50:F50"/>
    <mergeCell ref="C52:D52"/>
    <mergeCell ref="E52:F52"/>
    <mergeCell ref="C53:D53"/>
    <mergeCell ref="E53:F53"/>
    <mergeCell ref="C54:D54"/>
    <mergeCell ref="E54:F54"/>
    <mergeCell ref="E51:F51"/>
    <mergeCell ref="C51:D51"/>
    <mergeCell ref="C43:D43"/>
    <mergeCell ref="E43:F43"/>
    <mergeCell ref="C44:D44"/>
    <mergeCell ref="E44:F44"/>
    <mergeCell ref="C45:D45"/>
    <mergeCell ref="E45:F45"/>
    <mergeCell ref="C46:D46"/>
    <mergeCell ref="E46:F46"/>
    <mergeCell ref="C48:D48"/>
    <mergeCell ref="E48:F48"/>
    <mergeCell ref="C47:D47"/>
    <mergeCell ref="E47:F47"/>
    <mergeCell ref="C38:D38"/>
    <mergeCell ref="E38:F38"/>
    <mergeCell ref="C40:D40"/>
    <mergeCell ref="E40:F40"/>
    <mergeCell ref="C42:D42"/>
    <mergeCell ref="E42:F42"/>
    <mergeCell ref="E41:F41"/>
    <mergeCell ref="C41:D41"/>
    <mergeCell ref="E39:F39"/>
    <mergeCell ref="C39:D39"/>
    <mergeCell ref="C32:D32"/>
    <mergeCell ref="E32:F32"/>
    <mergeCell ref="C34:D34"/>
    <mergeCell ref="E34:F34"/>
    <mergeCell ref="E33:F33"/>
    <mergeCell ref="C33:D33"/>
    <mergeCell ref="C36:D36"/>
    <mergeCell ref="E36:F36"/>
    <mergeCell ref="C37:D37"/>
    <mergeCell ref="E37:F37"/>
    <mergeCell ref="C28:D28"/>
    <mergeCell ref="E28:F28"/>
    <mergeCell ref="E25:F25"/>
    <mergeCell ref="C25:D25"/>
    <mergeCell ref="C29:D29"/>
    <mergeCell ref="E29:F29"/>
    <mergeCell ref="C30:D30"/>
    <mergeCell ref="E30:F30"/>
    <mergeCell ref="C31:D31"/>
    <mergeCell ref="E31:F31"/>
    <mergeCell ref="E17:F17"/>
    <mergeCell ref="B18:D18"/>
    <mergeCell ref="E18:F18"/>
    <mergeCell ref="C19:D19"/>
    <mergeCell ref="E19:F19"/>
    <mergeCell ref="C20:D20"/>
    <mergeCell ref="E20:F20"/>
    <mergeCell ref="C21:D21"/>
    <mergeCell ref="E21:F21"/>
    <mergeCell ref="B19:B27"/>
    <mergeCell ref="E22:F22"/>
    <mergeCell ref="C22:D22"/>
    <mergeCell ref="C23:D23"/>
    <mergeCell ref="E23:F23"/>
    <mergeCell ref="C24:D24"/>
    <mergeCell ref="E24:F24"/>
    <mergeCell ref="C26:D26"/>
    <mergeCell ref="E26:F26"/>
    <mergeCell ref="C27:D27"/>
    <mergeCell ref="E27:F27"/>
    <mergeCell ref="A1:B1"/>
    <mergeCell ref="A2:B2"/>
    <mergeCell ref="A3:B3"/>
    <mergeCell ref="A4:B4"/>
    <mergeCell ref="B6:E6"/>
    <mergeCell ref="B13:C13"/>
    <mergeCell ref="C15:D15"/>
    <mergeCell ref="E15:F15"/>
    <mergeCell ref="B16:D16"/>
    <mergeCell ref="E16:F16"/>
    <mergeCell ref="A16:A89"/>
    <mergeCell ref="B29:B38"/>
    <mergeCell ref="B40:B59"/>
    <mergeCell ref="B61:B68"/>
    <mergeCell ref="B69:B76"/>
    <mergeCell ref="B78:B85"/>
    <mergeCell ref="B86:B87"/>
    <mergeCell ref="E62:F62"/>
    <mergeCell ref="C62:D62"/>
    <mergeCell ref="E35:F35"/>
    <mergeCell ref="C35:D35"/>
    <mergeCell ref="E73:F73"/>
    <mergeCell ref="C73:D73"/>
    <mergeCell ref="B17:D17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37"/>
  <sheetViews>
    <sheetView topLeftCell="B1" zoomScaleNormal="100" workbookViewId="0">
      <selection activeCell="H79" sqref="H79"/>
    </sheetView>
  </sheetViews>
  <sheetFormatPr defaultColWidth="14.42578125" defaultRowHeight="15" customHeight="1"/>
  <cols>
    <col min="1" max="1" width="19.5703125" customWidth="1"/>
    <col min="2" max="2" width="19" customWidth="1"/>
    <col min="3" max="3" width="76" customWidth="1"/>
    <col min="4" max="4" width="11.5703125" customWidth="1"/>
    <col min="5" max="5" width="9.5703125" customWidth="1"/>
    <col min="6" max="6" width="19.28515625" customWidth="1"/>
    <col min="7" max="7" width="6" customWidth="1"/>
    <col min="8" max="8" width="6.140625" customWidth="1"/>
    <col min="9" max="12" width="6" customWidth="1"/>
    <col min="13" max="13" width="6.140625" customWidth="1"/>
    <col min="14" max="17" width="6" customWidth="1"/>
    <col min="18" max="18" width="6.140625" customWidth="1"/>
    <col min="19" max="20" width="6" customWidth="1"/>
    <col min="21" max="21" width="6.7109375" customWidth="1"/>
    <col min="22" max="22" width="8.28515625" customWidth="1"/>
    <col min="23" max="23" width="8.7109375" customWidth="1"/>
    <col min="24" max="24" width="6.140625" customWidth="1"/>
    <col min="25" max="25" width="7.7109375" customWidth="1"/>
    <col min="26" max="26" width="7" customWidth="1"/>
    <col min="27" max="27" width="6.28515625" customWidth="1"/>
    <col min="28" max="28" width="7.5703125" customWidth="1"/>
    <col min="29" max="29" width="6.7109375" customWidth="1"/>
    <col min="30" max="30" width="7.85546875" customWidth="1"/>
    <col min="31" max="31" width="5.5703125" customWidth="1"/>
    <col min="32" max="32" width="6.28515625" customWidth="1"/>
    <col min="33" max="33" width="7.28515625" customWidth="1"/>
  </cols>
  <sheetData>
    <row r="1" spans="1:33" ht="16.5" customHeight="1" thickBot="1">
      <c r="A1" s="56" t="s">
        <v>0</v>
      </c>
      <c r="B1" s="57"/>
      <c r="C1" s="12" t="s">
        <v>1</v>
      </c>
      <c r="D1" s="13"/>
      <c r="E1" s="14"/>
      <c r="F1" s="15" t="s">
        <v>5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33" ht="16.5" customHeight="1" thickBot="1">
      <c r="A2" s="56" t="s">
        <v>3</v>
      </c>
      <c r="B2" s="57"/>
      <c r="C2" s="16" t="s">
        <v>153</v>
      </c>
      <c r="D2" s="13"/>
      <c r="E2" s="17"/>
      <c r="F2" s="18" t="s">
        <v>7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33" ht="16.5" customHeight="1" thickBot="1">
      <c r="A3" s="56" t="s">
        <v>6</v>
      </c>
      <c r="B3" s="57"/>
      <c r="C3" s="19">
        <v>46141</v>
      </c>
      <c r="D3" s="13"/>
      <c r="E3" s="20"/>
      <c r="F3" s="21" t="s">
        <v>2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33" ht="18" customHeight="1" thickBot="1">
      <c r="A4" s="56" t="s">
        <v>8</v>
      </c>
      <c r="B4" s="57"/>
      <c r="C4" s="19">
        <v>46152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33" ht="18" customHeight="1" thickBo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33" ht="16.5" customHeight="1" thickBot="1">
      <c r="A6" s="13"/>
      <c r="B6" s="58" t="s">
        <v>154</v>
      </c>
      <c r="C6" s="59"/>
      <c r="D6" s="59"/>
      <c r="E6" s="57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33" ht="16.5" customHeight="1" thickBot="1">
      <c r="A7" s="13"/>
      <c r="B7" s="22" t="s">
        <v>10</v>
      </c>
      <c r="C7" s="22" t="s">
        <v>11</v>
      </c>
      <c r="D7" s="22" t="s">
        <v>12</v>
      </c>
      <c r="E7" s="22" t="s">
        <v>13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33" ht="16.5" customHeight="1" thickBot="1">
      <c r="A8" s="13"/>
      <c r="B8" s="23">
        <v>1</v>
      </c>
      <c r="C8" s="16" t="s">
        <v>14</v>
      </c>
      <c r="D8" s="16">
        <f ca="1">SUMIF($E$16:$F$79,"Bảo",$G$16:$G$79)+SUMIF($E$16:$F$79,"All team",$G$16:$G$79)/5+SUMIF($E$16:$F$79,"Bảo,Quân",$G$16:$G$79)/2+SUMIF($E$16:$F$79,"Bảo,Trung",$G$16:$G$79)/2+SUMIF($E$16:$F$79,"Bảo,Hà",$G$16:$G$79)/2</f>
        <v>65.599999999999994</v>
      </c>
      <c r="E8" s="16">
        <f ca="1">SUMIF($E$16:$F$79,"Bảo",$H$16:$H$79)+SUMIF($E$16:$F$79,"All team",$H$16:$H$79)/5+SUMIF($E$16:$F$79,"Bảo,Quân",$H$16:$H$79)/2+SUMIF($E$16:$F$79,"Bảo,Trung",$H$16:$H$79)/2+SUMIF($E$16:$F$79,"Bảo,Hà",$H$16:$H$79)/2</f>
        <v>49.6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33" ht="16.5" customHeight="1" thickBot="1">
      <c r="A9" s="13"/>
      <c r="B9" s="23">
        <v>2</v>
      </c>
      <c r="C9" s="16" t="s">
        <v>15</v>
      </c>
      <c r="D9" s="16">
        <f ca="1">SUMIF($E$16:$F$79,"Quân",$G$16:$G$79)+SUMIF($E$16:$F$79,"All team",$G$16:$G$79)/5+SUMIF($E$16:$F$79,"Bảo,Quân",$G$16:$G$79)/2+SUMIF($E$16:$F$79,"Quân,Trung",$G$16:$G$79)/2</f>
        <v>39.6</v>
      </c>
      <c r="E9" s="16">
        <f ca="1">SUMIF($E$16:$F$79,"Quân",$H$16:$H$79)+SUMIF($E$16:$F$79,"All team",$H$16:$H$79)/5+SUMIF($E$16:$F$79,"Bảo,Quân",$H$16:$H$79)/2+SUMIF($E$16:$F$79,"Quân,Trung",$H$16:$H$79)/2</f>
        <v>42.6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33" ht="16.5" customHeight="1" thickBot="1">
      <c r="A10" s="13"/>
      <c r="B10" s="23">
        <v>3</v>
      </c>
      <c r="C10" s="16" t="s">
        <v>16</v>
      </c>
      <c r="D10" s="16">
        <f ca="1">SUMIF($E$16:$F$79,"Trung*",$G$16:$G$79)+SUMIF($E$16:$F$79,"All team",$G$16:$G$79)/5+SUMIF($E$16:$F$79,"Bảo,Trung",$G$16:$G$79)/2++SUMIF($E$16:$F$79,"Quân,Trung",$G$16:$G$79)/2</f>
        <v>14.6</v>
      </c>
      <c r="E10" s="16">
        <f ca="1">SUMIF($E$16:$F$79,"Trung*",$H$16:$H$79)+SUMIF($E$16:$F$79,"All team",$H$16:$H$79)/5+SUMIF($E$16:$F$79,"Bảo,Trung",$H$16:$H$79)/2++SUMIF($E$16:$F$79,"Quân,Trung",$H$16:$H$79)/2</f>
        <v>13.6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33" ht="16.5" customHeight="1" thickBot="1">
      <c r="A11" s="13"/>
      <c r="B11" s="23">
        <v>4</v>
      </c>
      <c r="C11" s="16" t="s">
        <v>17</v>
      </c>
      <c r="D11" s="16">
        <f ca="1">SUMIF($E$16:$F$87,"Hà",$G$16:$G$87)+SUMIF($E$16:$F$87,"All team",$G$16:$G$87)/5+SUMIF($E$16:$F$87,"Bảo,Hà",$G$16:$G$87)/2</f>
        <v>41.1</v>
      </c>
      <c r="E11" s="16">
        <f ca="1">SUMIF($E$16:$F$87,"Hà",$H$16:$H$87)+SUMIF($E$16:$F$87,"All team",$H$16:$H$87)/5+SUMIF($E$16:$F$87,"Bảo,Hà",$H$16:$H$87)/2</f>
        <v>39.6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33" ht="16.5" customHeight="1" thickBot="1">
      <c r="A12" s="13"/>
      <c r="B12" s="23">
        <v>5</v>
      </c>
      <c r="C12" s="16" t="s">
        <v>18</v>
      </c>
      <c r="D12" s="16">
        <f ca="1">SUMIF($E$16:$F$79,"Luân*",$G$16:$G$79)+SUMIF($E$16:$F$79,"All team",$G$16:$G$79)/5+SUMIF($E$16:$F$79,"Hà,Luân",$G$16:$G$79)/2</f>
        <v>30.6</v>
      </c>
      <c r="E12" s="16">
        <f ca="1">SUMIF($E$16:$F$79,"Luân",$H$16:$H$79)+SUMIF($E$16:$F$79,"ALL team",$H$16:$H$79)/5</f>
        <v>26.6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33" ht="16.5" customHeight="1" thickBot="1">
      <c r="A13" s="13"/>
      <c r="B13" s="58" t="s">
        <v>19</v>
      </c>
      <c r="C13" s="57"/>
      <c r="D13" s="24">
        <f ca="1">SUM(D8:D12)</f>
        <v>191.49999999999997</v>
      </c>
      <c r="E13" s="24">
        <f ca="1">SUM(E8:E12)</f>
        <v>172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33" ht="16.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33" ht="63.75" customHeight="1" thickBot="1">
      <c r="A15" s="25" t="s">
        <v>20</v>
      </c>
      <c r="B15" s="25" t="s">
        <v>21</v>
      </c>
      <c r="C15" s="60" t="s">
        <v>22</v>
      </c>
      <c r="D15" s="120"/>
      <c r="E15" s="60" t="s">
        <v>23</v>
      </c>
      <c r="F15" s="120"/>
      <c r="G15" s="26" t="s">
        <v>12</v>
      </c>
      <c r="H15" s="26" t="s">
        <v>13</v>
      </c>
      <c r="I15" s="27">
        <v>46129</v>
      </c>
      <c r="J15" s="27">
        <v>46130</v>
      </c>
      <c r="K15" s="27">
        <v>46131</v>
      </c>
      <c r="L15" s="27">
        <v>46132</v>
      </c>
      <c r="M15" s="27">
        <v>46133</v>
      </c>
      <c r="N15" s="27">
        <v>46134</v>
      </c>
      <c r="O15" s="27">
        <v>46135</v>
      </c>
      <c r="P15" s="27">
        <v>46136</v>
      </c>
      <c r="Q15" s="27">
        <v>46137</v>
      </c>
      <c r="R15" s="27">
        <v>46138</v>
      </c>
      <c r="S15" s="27">
        <v>46139</v>
      </c>
      <c r="T15" s="27">
        <v>46140</v>
      </c>
      <c r="U15" s="27">
        <v>46141</v>
      </c>
      <c r="V15" s="27">
        <v>46142</v>
      </c>
      <c r="W15" s="27">
        <v>46143</v>
      </c>
      <c r="X15" s="27">
        <v>46144</v>
      </c>
      <c r="Y15" s="27">
        <v>46145</v>
      </c>
      <c r="Z15" s="27">
        <v>46146</v>
      </c>
      <c r="AA15" s="27">
        <v>46147</v>
      </c>
      <c r="AB15" s="27">
        <v>46148</v>
      </c>
      <c r="AC15" s="27">
        <v>46149</v>
      </c>
      <c r="AD15" s="27">
        <v>46150</v>
      </c>
      <c r="AE15" s="27">
        <v>46151</v>
      </c>
      <c r="AF15" s="27">
        <v>46152</v>
      </c>
      <c r="AG15" s="27">
        <v>46153</v>
      </c>
    </row>
    <row r="16" spans="1:33" ht="16.5" customHeight="1" thickBot="1">
      <c r="A16" s="77" t="s">
        <v>153</v>
      </c>
      <c r="B16" s="62" t="s">
        <v>24</v>
      </c>
      <c r="C16" s="121"/>
      <c r="D16" s="120"/>
      <c r="E16" s="64" t="s">
        <v>25</v>
      </c>
      <c r="F16" s="120"/>
      <c r="G16" s="30">
        <v>10</v>
      </c>
      <c r="H16" s="30">
        <v>10</v>
      </c>
      <c r="I16" s="2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0">
        <v>0</v>
      </c>
      <c r="AG16" s="30">
        <v>0</v>
      </c>
    </row>
    <row r="17" spans="1:33" ht="16.5" customHeight="1" thickBot="1">
      <c r="A17" s="123"/>
      <c r="B17" s="62" t="s">
        <v>155</v>
      </c>
      <c r="C17" s="121"/>
      <c r="D17" s="120"/>
      <c r="E17" s="64" t="s">
        <v>48</v>
      </c>
      <c r="F17" s="120"/>
      <c r="G17" s="30">
        <v>5</v>
      </c>
      <c r="H17" s="30">
        <v>5</v>
      </c>
      <c r="I17" s="30">
        <v>5</v>
      </c>
      <c r="J17" s="2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</row>
    <row r="18" spans="1:33" ht="16.5" customHeight="1" thickBot="1">
      <c r="A18" s="123"/>
      <c r="B18" s="62" t="s">
        <v>28</v>
      </c>
      <c r="C18" s="121"/>
      <c r="D18" s="120"/>
      <c r="E18" s="64" t="s">
        <v>40</v>
      </c>
      <c r="F18" s="120"/>
      <c r="G18" s="30">
        <v>5</v>
      </c>
      <c r="H18" s="30">
        <v>5</v>
      </c>
      <c r="I18" s="30">
        <v>5</v>
      </c>
      <c r="J18" s="2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</row>
    <row r="19" spans="1:33" ht="17.25" customHeight="1">
      <c r="A19" s="123"/>
      <c r="B19" s="77" t="s">
        <v>30</v>
      </c>
      <c r="C19" s="62" t="s">
        <v>156</v>
      </c>
      <c r="D19" s="120"/>
      <c r="E19" s="64" t="s">
        <v>38</v>
      </c>
      <c r="F19" s="120"/>
      <c r="G19" s="30">
        <v>1</v>
      </c>
      <c r="H19" s="30">
        <v>2</v>
      </c>
      <c r="I19" s="30">
        <v>2</v>
      </c>
      <c r="J19" s="30">
        <v>1</v>
      </c>
      <c r="K19" s="2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</row>
    <row r="20" spans="1:33" ht="17.25" customHeight="1" thickBot="1">
      <c r="A20" s="123"/>
      <c r="B20" s="95"/>
      <c r="C20" s="28"/>
      <c r="D20" s="1"/>
      <c r="E20" s="29"/>
      <c r="F20" s="1"/>
      <c r="G20" s="30"/>
      <c r="H20" s="30"/>
      <c r="I20" s="30"/>
      <c r="J20" s="30"/>
      <c r="K20" s="17">
        <v>1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</row>
    <row r="21" spans="1:33" ht="17.25" customHeight="1" thickBot="1">
      <c r="A21" s="123"/>
      <c r="B21" s="123"/>
      <c r="C21" s="62" t="s">
        <v>157</v>
      </c>
      <c r="D21" s="122"/>
      <c r="E21" s="64" t="s">
        <v>35</v>
      </c>
      <c r="F21" s="120"/>
      <c r="G21" s="30">
        <v>2</v>
      </c>
      <c r="H21" s="30">
        <v>2</v>
      </c>
      <c r="I21" s="30">
        <v>2</v>
      </c>
      <c r="J21" s="30">
        <v>2</v>
      </c>
      <c r="K21" s="2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>
        <v>0</v>
      </c>
    </row>
    <row r="22" spans="1:33" ht="16.5" customHeight="1" thickBot="1">
      <c r="A22" s="123"/>
      <c r="B22" s="123"/>
      <c r="C22" s="62" t="s">
        <v>158</v>
      </c>
      <c r="D22" s="122"/>
      <c r="E22" s="64" t="s">
        <v>40</v>
      </c>
      <c r="F22" s="120"/>
      <c r="G22" s="30">
        <v>2</v>
      </c>
      <c r="H22" s="30">
        <v>2</v>
      </c>
      <c r="I22" s="30">
        <v>2</v>
      </c>
      <c r="J22" s="30">
        <v>2</v>
      </c>
      <c r="K22" s="2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</row>
    <row r="23" spans="1:33" ht="16.5" customHeight="1" thickBot="1">
      <c r="A23" s="123"/>
      <c r="B23" s="123"/>
      <c r="C23" s="62" t="s">
        <v>159</v>
      </c>
      <c r="D23" s="68"/>
      <c r="E23" s="64" t="s">
        <v>32</v>
      </c>
      <c r="F23" s="66"/>
      <c r="G23" s="30">
        <v>2</v>
      </c>
      <c r="H23" s="30">
        <v>2</v>
      </c>
      <c r="I23" s="30">
        <v>2</v>
      </c>
      <c r="J23" s="30">
        <v>2</v>
      </c>
      <c r="K23" s="30">
        <v>2</v>
      </c>
      <c r="L23" s="2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</row>
    <row r="24" spans="1:33" ht="16.5" customHeight="1">
      <c r="A24" s="123"/>
      <c r="B24" s="123"/>
      <c r="C24" s="62" t="s">
        <v>160</v>
      </c>
      <c r="D24" s="120"/>
      <c r="E24" s="64" t="s">
        <v>48</v>
      </c>
      <c r="F24" s="120"/>
      <c r="G24" s="30">
        <v>1</v>
      </c>
      <c r="H24" s="30">
        <v>2</v>
      </c>
      <c r="I24" s="30">
        <v>2</v>
      </c>
      <c r="J24" s="30">
        <v>2</v>
      </c>
      <c r="K24" s="30">
        <v>1</v>
      </c>
      <c r="L24" s="2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</row>
    <row r="25" spans="1:33" ht="16.5" customHeight="1" thickBot="1">
      <c r="A25" s="123"/>
      <c r="B25" s="31"/>
      <c r="C25" s="28"/>
      <c r="D25" s="33"/>
      <c r="E25" s="29"/>
      <c r="F25" s="34"/>
      <c r="G25" s="30"/>
      <c r="H25" s="30"/>
      <c r="I25" s="30"/>
      <c r="J25" s="30"/>
      <c r="K25" s="30"/>
      <c r="L25" s="17">
        <v>1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30">
        <v>0</v>
      </c>
      <c r="AG25" s="30">
        <v>0</v>
      </c>
    </row>
    <row r="26" spans="1:33" ht="16.5" customHeight="1" thickBot="1">
      <c r="A26" s="123"/>
      <c r="B26" s="31"/>
      <c r="C26" s="62" t="s">
        <v>161</v>
      </c>
      <c r="D26" s="68"/>
      <c r="E26" s="64" t="s">
        <v>40</v>
      </c>
      <c r="F26" s="66"/>
      <c r="G26" s="30">
        <v>2</v>
      </c>
      <c r="H26" s="30">
        <v>2</v>
      </c>
      <c r="I26" s="30">
        <v>2</v>
      </c>
      <c r="J26" s="30">
        <v>2</v>
      </c>
      <c r="K26" s="30">
        <v>2</v>
      </c>
      <c r="L26" s="2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</row>
    <row r="27" spans="1:33" ht="16.5" customHeight="1" thickBot="1">
      <c r="A27" s="123"/>
      <c r="B27" s="31"/>
      <c r="C27" s="69" t="s">
        <v>162</v>
      </c>
      <c r="D27" s="69"/>
      <c r="E27" s="64" t="s">
        <v>25</v>
      </c>
      <c r="F27" s="66"/>
      <c r="G27" s="30">
        <v>2</v>
      </c>
      <c r="H27" s="30">
        <v>2</v>
      </c>
      <c r="I27" s="30">
        <v>2</v>
      </c>
      <c r="J27" s="30">
        <v>2</v>
      </c>
      <c r="K27" s="30">
        <v>2</v>
      </c>
      <c r="L27" s="2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</row>
    <row r="28" spans="1:33" ht="16.5" customHeight="1">
      <c r="A28" s="123"/>
      <c r="B28" s="77" t="s">
        <v>43</v>
      </c>
      <c r="C28" s="62" t="s">
        <v>163</v>
      </c>
      <c r="D28" s="120"/>
      <c r="E28" s="64" t="s">
        <v>40</v>
      </c>
      <c r="F28" s="120"/>
      <c r="G28" s="30">
        <v>1</v>
      </c>
      <c r="H28" s="30">
        <v>2</v>
      </c>
      <c r="I28" s="30">
        <v>2</v>
      </c>
      <c r="J28" s="30">
        <v>2</v>
      </c>
      <c r="K28" s="30">
        <v>2</v>
      </c>
      <c r="L28" s="30">
        <v>1</v>
      </c>
      <c r="M28" s="2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</row>
    <row r="29" spans="1:33" ht="16.5" customHeight="1" thickBot="1">
      <c r="A29" s="123"/>
      <c r="B29" s="95"/>
      <c r="C29" s="28"/>
      <c r="D29" s="32"/>
      <c r="E29" s="29"/>
      <c r="F29" s="1"/>
      <c r="G29" s="30"/>
      <c r="H29" s="30"/>
      <c r="I29" s="30"/>
      <c r="J29" s="30"/>
      <c r="K29" s="30"/>
      <c r="L29" s="30"/>
      <c r="M29" s="17">
        <v>1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</row>
    <row r="30" spans="1:33" ht="16.5" customHeight="1" thickBot="1">
      <c r="A30" s="123"/>
      <c r="B30" s="95"/>
      <c r="C30" s="62" t="s">
        <v>164</v>
      </c>
      <c r="D30" s="122"/>
      <c r="E30" s="64" t="s">
        <v>35</v>
      </c>
      <c r="F30" s="120"/>
      <c r="G30" s="30">
        <v>2</v>
      </c>
      <c r="H30" s="30">
        <v>2</v>
      </c>
      <c r="I30" s="30">
        <v>2</v>
      </c>
      <c r="J30" s="30">
        <v>2</v>
      </c>
      <c r="K30" s="30">
        <v>2</v>
      </c>
      <c r="L30" s="30">
        <v>2</v>
      </c>
      <c r="M30" s="2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</row>
    <row r="31" spans="1:33" ht="16.5" customHeight="1" thickBot="1">
      <c r="A31" s="123"/>
      <c r="B31" s="95"/>
      <c r="C31" s="62" t="s">
        <v>165</v>
      </c>
      <c r="D31" s="122"/>
      <c r="E31" s="64" t="s">
        <v>40</v>
      </c>
      <c r="F31" s="120"/>
      <c r="G31" s="30">
        <v>2</v>
      </c>
      <c r="H31" s="30">
        <v>2</v>
      </c>
      <c r="I31" s="30">
        <v>2</v>
      </c>
      <c r="J31" s="30">
        <v>2</v>
      </c>
      <c r="K31" s="30">
        <v>2</v>
      </c>
      <c r="L31" s="30">
        <v>2</v>
      </c>
      <c r="M31" s="30">
        <v>2</v>
      </c>
      <c r="N31" s="2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</row>
    <row r="32" spans="1:33" ht="16.5" customHeight="1" thickBot="1">
      <c r="A32" s="123"/>
      <c r="B32" s="95"/>
      <c r="C32" s="62" t="s">
        <v>166</v>
      </c>
      <c r="D32" s="68"/>
      <c r="E32" s="64" t="s">
        <v>35</v>
      </c>
      <c r="F32" s="66"/>
      <c r="G32" s="30">
        <v>4</v>
      </c>
      <c r="H32" s="30">
        <v>2</v>
      </c>
      <c r="I32" s="30">
        <v>2</v>
      </c>
      <c r="J32" s="30">
        <v>2</v>
      </c>
      <c r="K32" s="30">
        <v>2</v>
      </c>
      <c r="L32" s="30">
        <v>2</v>
      </c>
      <c r="M32" s="30">
        <v>2</v>
      </c>
      <c r="N32" s="2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</row>
    <row r="33" spans="1:33" ht="16.5" customHeight="1" thickBot="1">
      <c r="A33" s="123"/>
      <c r="B33" s="95"/>
      <c r="C33" s="28"/>
      <c r="D33" s="1"/>
      <c r="E33" s="29"/>
      <c r="F33" s="34"/>
      <c r="G33" s="30"/>
      <c r="H33" s="30"/>
      <c r="I33" s="30"/>
      <c r="J33" s="30"/>
      <c r="K33" s="30"/>
      <c r="L33" s="30"/>
      <c r="M33" s="30"/>
      <c r="N33" s="14">
        <v>2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</row>
    <row r="34" spans="1:33" ht="16.5" customHeight="1" thickBot="1">
      <c r="A34" s="123"/>
      <c r="B34" s="95"/>
      <c r="C34" s="62" t="s">
        <v>167</v>
      </c>
      <c r="D34" s="120"/>
      <c r="E34" s="64" t="s">
        <v>40</v>
      </c>
      <c r="F34" s="66"/>
      <c r="G34" s="30">
        <v>2</v>
      </c>
      <c r="H34" s="30">
        <v>2</v>
      </c>
      <c r="I34" s="30">
        <v>2</v>
      </c>
      <c r="J34" s="30">
        <v>2</v>
      </c>
      <c r="K34" s="30">
        <v>2</v>
      </c>
      <c r="L34" s="30">
        <v>2</v>
      </c>
      <c r="M34" s="30">
        <v>2</v>
      </c>
      <c r="N34" s="30">
        <v>2</v>
      </c>
      <c r="O34" s="2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</row>
    <row r="35" spans="1:33" ht="16.5" customHeight="1" thickBot="1">
      <c r="A35" s="123"/>
      <c r="B35" s="95"/>
      <c r="C35" s="62" t="s">
        <v>168</v>
      </c>
      <c r="D35" s="68"/>
      <c r="E35" s="64" t="s">
        <v>35</v>
      </c>
      <c r="F35" s="66"/>
      <c r="G35" s="30">
        <v>2</v>
      </c>
      <c r="H35" s="30">
        <v>2</v>
      </c>
      <c r="I35" s="30">
        <v>2</v>
      </c>
      <c r="J35" s="30">
        <v>2</v>
      </c>
      <c r="K35" s="30">
        <v>2</v>
      </c>
      <c r="L35" s="30">
        <v>2</v>
      </c>
      <c r="M35" s="30">
        <v>2</v>
      </c>
      <c r="N35" s="30">
        <v>2</v>
      </c>
      <c r="O35" s="2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</row>
    <row r="36" spans="1:33" ht="16.5" customHeight="1" thickBot="1">
      <c r="A36" s="123"/>
      <c r="B36" s="95"/>
      <c r="C36" s="69" t="s">
        <v>162</v>
      </c>
      <c r="D36" s="69"/>
      <c r="E36" s="64" t="s">
        <v>25</v>
      </c>
      <c r="F36" s="66"/>
      <c r="G36" s="30">
        <v>3</v>
      </c>
      <c r="H36" s="30">
        <v>3</v>
      </c>
      <c r="I36" s="30">
        <v>3</v>
      </c>
      <c r="J36" s="30">
        <v>3</v>
      </c>
      <c r="K36" s="30">
        <v>3</v>
      </c>
      <c r="L36" s="30">
        <v>3</v>
      </c>
      <c r="M36" s="30">
        <v>3</v>
      </c>
      <c r="N36" s="30">
        <v>3</v>
      </c>
      <c r="O36" s="2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</row>
    <row r="37" spans="1:33" ht="16.5" customHeight="1" thickBot="1">
      <c r="A37" s="123"/>
      <c r="B37" s="77" t="s">
        <v>53</v>
      </c>
      <c r="C37" s="62" t="s">
        <v>169</v>
      </c>
      <c r="D37" s="120"/>
      <c r="E37" s="64" t="s">
        <v>38</v>
      </c>
      <c r="F37" s="120"/>
      <c r="G37" s="30">
        <v>3</v>
      </c>
      <c r="H37" s="30">
        <v>3</v>
      </c>
      <c r="I37" s="30">
        <v>3</v>
      </c>
      <c r="J37" s="30">
        <v>3</v>
      </c>
      <c r="K37" s="30">
        <v>3</v>
      </c>
      <c r="L37" s="30">
        <v>3</v>
      </c>
      <c r="M37" s="30">
        <v>3</v>
      </c>
      <c r="N37" s="30">
        <v>3</v>
      </c>
      <c r="O37" s="30">
        <v>3</v>
      </c>
      <c r="P37" s="30">
        <v>3</v>
      </c>
      <c r="Q37" s="2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30">
        <v>0</v>
      </c>
      <c r="AG37" s="30">
        <v>0</v>
      </c>
    </row>
    <row r="38" spans="1:33" ht="16.5" customHeight="1" thickBot="1">
      <c r="A38" s="123"/>
      <c r="B38" s="95"/>
      <c r="C38" s="62" t="s">
        <v>170</v>
      </c>
      <c r="D38" s="120"/>
      <c r="E38" s="64" t="s">
        <v>38</v>
      </c>
      <c r="F38" s="120"/>
      <c r="G38" s="30">
        <v>2</v>
      </c>
      <c r="H38" s="30">
        <v>2</v>
      </c>
      <c r="I38" s="30">
        <v>2</v>
      </c>
      <c r="J38" s="30">
        <v>2</v>
      </c>
      <c r="K38" s="30">
        <v>2</v>
      </c>
      <c r="L38" s="30">
        <v>2</v>
      </c>
      <c r="M38" s="30">
        <v>2</v>
      </c>
      <c r="N38" s="30">
        <v>2</v>
      </c>
      <c r="O38" s="30">
        <v>2</v>
      </c>
      <c r="P38" s="2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  <c r="AG38" s="30">
        <v>0</v>
      </c>
    </row>
    <row r="39" spans="1:33" ht="16.5" customHeight="1" thickBot="1">
      <c r="A39" s="123"/>
      <c r="B39" s="95"/>
      <c r="C39" s="62" t="s">
        <v>171</v>
      </c>
      <c r="D39" s="120"/>
      <c r="E39" s="64" t="s">
        <v>38</v>
      </c>
      <c r="F39" s="120"/>
      <c r="G39" s="30">
        <v>8</v>
      </c>
      <c r="H39" s="30">
        <v>8</v>
      </c>
      <c r="I39" s="30">
        <v>8</v>
      </c>
      <c r="J39" s="30">
        <v>8</v>
      </c>
      <c r="K39" s="30">
        <v>8</v>
      </c>
      <c r="L39" s="30">
        <v>8</v>
      </c>
      <c r="M39" s="30">
        <v>8</v>
      </c>
      <c r="N39" s="30">
        <v>8</v>
      </c>
      <c r="O39" s="30">
        <v>8</v>
      </c>
      <c r="P39" s="30">
        <v>8</v>
      </c>
      <c r="Q39" s="2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</row>
    <row r="40" spans="1:33" ht="16.5" customHeight="1" thickBot="1">
      <c r="A40" s="123"/>
      <c r="B40" s="95"/>
      <c r="C40" s="62" t="s">
        <v>172</v>
      </c>
      <c r="D40" s="120"/>
      <c r="E40" s="64" t="s">
        <v>48</v>
      </c>
      <c r="F40" s="120"/>
      <c r="G40" s="30">
        <v>5</v>
      </c>
      <c r="H40" s="30">
        <v>5</v>
      </c>
      <c r="I40" s="30">
        <v>5</v>
      </c>
      <c r="J40" s="30">
        <v>5</v>
      </c>
      <c r="K40" s="30">
        <v>5</v>
      </c>
      <c r="L40" s="30">
        <v>5</v>
      </c>
      <c r="M40" s="30">
        <v>5</v>
      </c>
      <c r="N40" s="30">
        <v>5</v>
      </c>
      <c r="O40" s="30">
        <v>5</v>
      </c>
      <c r="P40" s="2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</row>
    <row r="41" spans="1:33" ht="16.5" customHeight="1" thickBot="1">
      <c r="A41" s="123"/>
      <c r="B41" s="95"/>
      <c r="C41" s="62" t="s">
        <v>173</v>
      </c>
      <c r="D41" s="120"/>
      <c r="E41" s="64" t="s">
        <v>48</v>
      </c>
      <c r="F41" s="120"/>
      <c r="G41" s="30">
        <v>8</v>
      </c>
      <c r="H41" s="30">
        <v>8</v>
      </c>
      <c r="I41" s="30">
        <v>8</v>
      </c>
      <c r="J41" s="30">
        <v>8</v>
      </c>
      <c r="K41" s="30">
        <v>8</v>
      </c>
      <c r="L41" s="30">
        <v>8</v>
      </c>
      <c r="M41" s="30">
        <v>8</v>
      </c>
      <c r="N41" s="30">
        <v>8</v>
      </c>
      <c r="O41" s="30">
        <v>8</v>
      </c>
      <c r="P41" s="30">
        <v>8</v>
      </c>
      <c r="Q41" s="30">
        <v>8</v>
      </c>
      <c r="R41" s="30">
        <v>8</v>
      </c>
      <c r="S41" s="2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30">
        <v>0</v>
      </c>
      <c r="AG41" s="30">
        <v>0</v>
      </c>
    </row>
    <row r="42" spans="1:33" ht="16.5" customHeight="1" thickBot="1">
      <c r="A42" s="123"/>
      <c r="B42" s="95"/>
      <c r="C42" s="62" t="s">
        <v>174</v>
      </c>
      <c r="D42" s="120"/>
      <c r="E42" s="64" t="s">
        <v>40</v>
      </c>
      <c r="F42" s="120"/>
      <c r="G42" s="30">
        <v>5</v>
      </c>
      <c r="H42" s="30">
        <v>5</v>
      </c>
      <c r="I42" s="30">
        <v>5</v>
      </c>
      <c r="J42" s="30">
        <v>5</v>
      </c>
      <c r="K42" s="30">
        <v>5</v>
      </c>
      <c r="L42" s="30">
        <v>5</v>
      </c>
      <c r="M42" s="30">
        <v>5</v>
      </c>
      <c r="N42" s="30">
        <v>5</v>
      </c>
      <c r="O42" s="30">
        <v>5</v>
      </c>
      <c r="P42" s="30">
        <v>5</v>
      </c>
      <c r="Q42" s="2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0</v>
      </c>
      <c r="AF42" s="30">
        <v>0</v>
      </c>
      <c r="AG42" s="30">
        <v>0</v>
      </c>
    </row>
    <row r="43" spans="1:33" ht="16.5" customHeight="1" thickBot="1">
      <c r="A43" s="123"/>
      <c r="B43" s="95"/>
      <c r="C43" s="62" t="s">
        <v>175</v>
      </c>
      <c r="D43" s="120"/>
      <c r="E43" s="64" t="s">
        <v>48</v>
      </c>
      <c r="F43" s="120"/>
      <c r="G43" s="35">
        <v>8</v>
      </c>
      <c r="H43" s="30">
        <v>5</v>
      </c>
      <c r="I43" s="30">
        <v>5</v>
      </c>
      <c r="J43" s="30">
        <v>5</v>
      </c>
      <c r="K43" s="30">
        <v>5</v>
      </c>
      <c r="L43" s="30">
        <v>5</v>
      </c>
      <c r="M43" s="30">
        <v>5</v>
      </c>
      <c r="N43" s="30">
        <v>5</v>
      </c>
      <c r="O43" s="30">
        <v>5</v>
      </c>
      <c r="P43" s="30">
        <v>5</v>
      </c>
      <c r="Q43" s="30">
        <v>5</v>
      </c>
      <c r="R43" s="30">
        <v>5</v>
      </c>
      <c r="S43" s="30">
        <v>5</v>
      </c>
      <c r="T43" s="2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</row>
    <row r="44" spans="1:33" ht="16.5" customHeight="1" thickBot="1">
      <c r="A44" s="123"/>
      <c r="B44" s="95"/>
      <c r="C44" s="28"/>
      <c r="D44" s="1"/>
      <c r="E44" s="29"/>
      <c r="F44" s="1"/>
      <c r="G44" s="35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14">
        <v>3</v>
      </c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1:33" ht="16.5" customHeight="1" thickBot="1">
      <c r="A45" s="123"/>
      <c r="B45" s="95"/>
      <c r="C45" s="62" t="s">
        <v>176</v>
      </c>
      <c r="D45" s="120"/>
      <c r="E45" s="64" t="s">
        <v>48</v>
      </c>
      <c r="F45" s="120"/>
      <c r="G45" s="35">
        <v>6</v>
      </c>
      <c r="H45" s="30">
        <v>5</v>
      </c>
      <c r="I45" s="30">
        <v>5</v>
      </c>
      <c r="J45" s="30">
        <v>5</v>
      </c>
      <c r="K45" s="30">
        <v>5</v>
      </c>
      <c r="L45" s="30">
        <v>5</v>
      </c>
      <c r="M45" s="30">
        <v>5</v>
      </c>
      <c r="N45" s="30">
        <v>5</v>
      </c>
      <c r="O45" s="30">
        <v>5</v>
      </c>
      <c r="P45" s="30">
        <v>5</v>
      </c>
      <c r="Q45" s="2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</row>
    <row r="46" spans="1:33" ht="16.5" customHeight="1" thickBot="1">
      <c r="A46" s="123"/>
      <c r="B46" s="95"/>
      <c r="C46" s="28"/>
      <c r="D46" s="1"/>
      <c r="E46" s="29"/>
      <c r="F46" s="34"/>
      <c r="G46" s="35"/>
      <c r="H46" s="30"/>
      <c r="I46" s="30"/>
      <c r="J46" s="30"/>
      <c r="K46" s="30"/>
      <c r="L46" s="30"/>
      <c r="M46" s="30"/>
      <c r="N46" s="30"/>
      <c r="O46" s="30"/>
      <c r="P46" s="30"/>
      <c r="Q46" s="14">
        <v>1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30">
        <v>0</v>
      </c>
      <c r="AG46" s="30">
        <v>0</v>
      </c>
    </row>
    <row r="47" spans="1:33" ht="16.5" customHeight="1" thickBot="1">
      <c r="A47" s="123"/>
      <c r="B47" s="95"/>
      <c r="C47" s="62" t="s">
        <v>177</v>
      </c>
      <c r="D47" s="120"/>
      <c r="E47" s="64" t="s">
        <v>48</v>
      </c>
      <c r="F47" s="66"/>
      <c r="G47" s="30">
        <v>13</v>
      </c>
      <c r="H47" s="30">
        <v>8</v>
      </c>
      <c r="I47" s="30">
        <v>8</v>
      </c>
      <c r="J47" s="30">
        <v>8</v>
      </c>
      <c r="K47" s="30">
        <v>8</v>
      </c>
      <c r="L47" s="30">
        <v>8</v>
      </c>
      <c r="M47" s="30">
        <v>8</v>
      </c>
      <c r="N47" s="30">
        <v>8</v>
      </c>
      <c r="O47" s="30">
        <v>8</v>
      </c>
      <c r="P47" s="30">
        <v>8</v>
      </c>
      <c r="Q47" s="30">
        <v>8</v>
      </c>
      <c r="R47" s="30">
        <v>8</v>
      </c>
      <c r="S47" s="30">
        <v>8</v>
      </c>
      <c r="T47" s="30">
        <v>8</v>
      </c>
      <c r="U47" s="30">
        <v>8</v>
      </c>
      <c r="V47" s="30">
        <v>8</v>
      </c>
      <c r="W47" s="30">
        <v>8</v>
      </c>
      <c r="X47" s="30">
        <v>8</v>
      </c>
      <c r="Y47" s="30">
        <v>8</v>
      </c>
      <c r="Z47" s="30">
        <v>8</v>
      </c>
      <c r="AA47" s="30">
        <v>8</v>
      </c>
      <c r="AB47" s="2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</row>
    <row r="48" spans="1:33" ht="16.5" customHeight="1" thickBot="1">
      <c r="A48" s="123"/>
      <c r="B48" s="95"/>
      <c r="C48" s="28"/>
      <c r="D48" s="1"/>
      <c r="E48" s="29"/>
      <c r="F48" s="34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14">
        <v>5</v>
      </c>
      <c r="AC48" s="30"/>
      <c r="AD48" s="30"/>
      <c r="AE48" s="30"/>
      <c r="AF48" s="30"/>
      <c r="AG48" s="30"/>
    </row>
    <row r="49" spans="1:33" ht="16.5" customHeight="1" thickBot="1">
      <c r="A49" s="123"/>
      <c r="B49" s="95"/>
      <c r="C49" s="62" t="s">
        <v>178</v>
      </c>
      <c r="D49" s="120"/>
      <c r="E49" s="64" t="s">
        <v>32</v>
      </c>
      <c r="F49" s="66"/>
      <c r="G49" s="30">
        <v>4</v>
      </c>
      <c r="H49" s="30">
        <v>4</v>
      </c>
      <c r="I49" s="30">
        <v>4</v>
      </c>
      <c r="J49" s="30">
        <v>4</v>
      </c>
      <c r="K49" s="30">
        <v>4</v>
      </c>
      <c r="L49" s="30">
        <v>4</v>
      </c>
      <c r="M49" s="30">
        <v>4</v>
      </c>
      <c r="N49" s="30">
        <v>4</v>
      </c>
      <c r="O49" s="30">
        <v>4</v>
      </c>
      <c r="P49" s="30">
        <v>4</v>
      </c>
      <c r="Q49" s="30">
        <v>4</v>
      </c>
      <c r="R49" s="30">
        <v>4</v>
      </c>
      <c r="S49" s="30">
        <v>4</v>
      </c>
      <c r="T49" s="2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</row>
    <row r="50" spans="1:33" ht="16.5" customHeight="1">
      <c r="A50" s="123"/>
      <c r="B50" s="95"/>
      <c r="C50" s="62" t="s">
        <v>179</v>
      </c>
      <c r="D50" s="120"/>
      <c r="E50" s="64" t="s">
        <v>38</v>
      </c>
      <c r="F50" s="66"/>
      <c r="G50" s="30">
        <v>6</v>
      </c>
      <c r="H50" s="30">
        <v>8</v>
      </c>
      <c r="I50" s="30">
        <v>8</v>
      </c>
      <c r="J50" s="30">
        <v>8</v>
      </c>
      <c r="K50" s="30">
        <v>8</v>
      </c>
      <c r="L50" s="30">
        <v>8</v>
      </c>
      <c r="M50" s="30">
        <v>8</v>
      </c>
      <c r="N50" s="30">
        <v>8</v>
      </c>
      <c r="O50" s="30">
        <v>8</v>
      </c>
      <c r="P50" s="30">
        <v>8</v>
      </c>
      <c r="Q50" s="30">
        <v>8</v>
      </c>
      <c r="R50" s="30">
        <v>8</v>
      </c>
      <c r="S50" s="30">
        <v>8</v>
      </c>
      <c r="T50" s="30">
        <v>8</v>
      </c>
      <c r="U50" s="30">
        <v>8</v>
      </c>
      <c r="V50" s="30">
        <v>6</v>
      </c>
      <c r="W50" s="2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</row>
    <row r="51" spans="1:33" ht="16.5" customHeight="1" thickBot="1">
      <c r="A51" s="123"/>
      <c r="B51" s="95"/>
      <c r="C51" s="28"/>
      <c r="D51" s="1"/>
      <c r="E51" s="29"/>
      <c r="F51" s="34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17">
        <v>2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</row>
    <row r="52" spans="1:33" ht="16.5" customHeight="1" thickBot="1">
      <c r="A52" s="123"/>
      <c r="B52" s="95"/>
      <c r="C52" s="62" t="s">
        <v>180</v>
      </c>
      <c r="D52" s="120"/>
      <c r="E52" s="64" t="s">
        <v>38</v>
      </c>
      <c r="F52" s="66"/>
      <c r="G52" s="30">
        <v>8</v>
      </c>
      <c r="H52" s="30">
        <v>8</v>
      </c>
      <c r="I52" s="30">
        <v>8</v>
      </c>
      <c r="J52" s="30">
        <v>8</v>
      </c>
      <c r="K52" s="30">
        <v>8</v>
      </c>
      <c r="L52" s="30">
        <v>8</v>
      </c>
      <c r="M52" s="30">
        <v>8</v>
      </c>
      <c r="N52" s="30">
        <v>8</v>
      </c>
      <c r="O52" s="30">
        <v>8</v>
      </c>
      <c r="P52" s="30">
        <v>8</v>
      </c>
      <c r="Q52" s="30">
        <v>8</v>
      </c>
      <c r="R52" s="30">
        <v>8</v>
      </c>
      <c r="S52" s="30">
        <v>8</v>
      </c>
      <c r="T52" s="30">
        <v>8</v>
      </c>
      <c r="U52" s="30">
        <v>8</v>
      </c>
      <c r="V52" s="30">
        <v>8</v>
      </c>
      <c r="W52" s="30">
        <v>8</v>
      </c>
      <c r="X52" s="30">
        <v>8</v>
      </c>
      <c r="Y52" s="2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</row>
    <row r="53" spans="1:33" ht="16.5" customHeight="1" thickBot="1">
      <c r="A53" s="123"/>
      <c r="B53" s="95"/>
      <c r="C53" s="62" t="s">
        <v>69</v>
      </c>
      <c r="D53" s="68"/>
      <c r="E53" s="64" t="s">
        <v>25</v>
      </c>
      <c r="F53" s="66"/>
      <c r="G53" s="30">
        <v>8</v>
      </c>
      <c r="H53" s="30">
        <v>8</v>
      </c>
      <c r="I53" s="30">
        <v>8</v>
      </c>
      <c r="J53" s="30">
        <v>8</v>
      </c>
      <c r="K53" s="30">
        <v>8</v>
      </c>
      <c r="L53" s="30">
        <v>8</v>
      </c>
      <c r="M53" s="30">
        <v>8</v>
      </c>
      <c r="N53" s="30">
        <v>8</v>
      </c>
      <c r="O53" s="30">
        <v>8</v>
      </c>
      <c r="P53" s="30">
        <v>8</v>
      </c>
      <c r="Q53" s="30">
        <v>8</v>
      </c>
      <c r="R53" s="30">
        <v>8</v>
      </c>
      <c r="S53" s="30">
        <v>8</v>
      </c>
      <c r="T53" s="30">
        <v>8</v>
      </c>
      <c r="U53" s="30">
        <v>8</v>
      </c>
      <c r="V53" s="30">
        <v>8</v>
      </c>
      <c r="W53" s="30">
        <v>8</v>
      </c>
      <c r="X53" s="30">
        <v>8</v>
      </c>
      <c r="Y53" s="30">
        <v>8</v>
      </c>
      <c r="Z53" s="30">
        <v>8</v>
      </c>
      <c r="AA53" s="30">
        <v>8</v>
      </c>
      <c r="AB53" s="30">
        <v>8</v>
      </c>
      <c r="AC53" s="20">
        <v>0</v>
      </c>
      <c r="AD53" s="30">
        <v>0</v>
      </c>
      <c r="AE53" s="30">
        <v>0</v>
      </c>
      <c r="AF53" s="30">
        <v>0</v>
      </c>
      <c r="AG53" s="30">
        <v>0</v>
      </c>
    </row>
    <row r="54" spans="1:33" ht="16.5" customHeight="1" thickBot="1">
      <c r="A54" s="123"/>
      <c r="B54" s="77" t="s">
        <v>70</v>
      </c>
      <c r="C54" s="62" t="s">
        <v>181</v>
      </c>
      <c r="D54" s="120"/>
      <c r="E54" s="64" t="s">
        <v>35</v>
      </c>
      <c r="F54" s="120"/>
      <c r="G54" s="30">
        <v>2</v>
      </c>
      <c r="H54" s="30">
        <v>2</v>
      </c>
      <c r="I54" s="30">
        <v>2</v>
      </c>
      <c r="J54" s="30">
        <v>2</v>
      </c>
      <c r="K54" s="30">
        <v>2</v>
      </c>
      <c r="L54" s="30">
        <v>2</v>
      </c>
      <c r="M54" s="30">
        <v>2</v>
      </c>
      <c r="N54" s="30">
        <v>2</v>
      </c>
      <c r="O54" s="30">
        <v>2</v>
      </c>
      <c r="P54" s="30">
        <v>2</v>
      </c>
      <c r="Q54" s="30">
        <v>2</v>
      </c>
      <c r="R54" s="2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30">
        <v>0</v>
      </c>
      <c r="AG54" s="30">
        <v>0</v>
      </c>
    </row>
    <row r="55" spans="1:33" ht="16.5" customHeight="1" thickBot="1">
      <c r="A55" s="123"/>
      <c r="B55" s="95"/>
      <c r="C55" s="62" t="s">
        <v>182</v>
      </c>
      <c r="D55" s="122"/>
      <c r="E55" s="64" t="s">
        <v>40</v>
      </c>
      <c r="F55" s="120"/>
      <c r="G55" s="30">
        <v>2</v>
      </c>
      <c r="H55" s="30">
        <v>2</v>
      </c>
      <c r="I55" s="30">
        <v>2</v>
      </c>
      <c r="J55" s="30">
        <v>2</v>
      </c>
      <c r="K55" s="30">
        <v>2</v>
      </c>
      <c r="L55" s="30">
        <v>2</v>
      </c>
      <c r="M55" s="30">
        <v>2</v>
      </c>
      <c r="N55" s="30">
        <v>2</v>
      </c>
      <c r="O55" s="30">
        <v>2</v>
      </c>
      <c r="P55" s="30">
        <v>2</v>
      </c>
      <c r="Q55" s="30">
        <v>2</v>
      </c>
      <c r="R55" s="2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</row>
    <row r="56" spans="1:33" ht="16.5" customHeight="1" thickBot="1">
      <c r="A56" s="123"/>
      <c r="B56" s="95"/>
      <c r="C56" s="62" t="s">
        <v>183</v>
      </c>
      <c r="D56" s="122"/>
      <c r="E56" s="64" t="s">
        <v>35</v>
      </c>
      <c r="F56" s="120"/>
      <c r="G56" s="30">
        <v>2</v>
      </c>
      <c r="H56" s="30">
        <v>2</v>
      </c>
      <c r="I56" s="30">
        <v>2</v>
      </c>
      <c r="J56" s="30">
        <v>2</v>
      </c>
      <c r="K56" s="30">
        <v>2</v>
      </c>
      <c r="L56" s="30">
        <v>2</v>
      </c>
      <c r="M56" s="30">
        <v>2</v>
      </c>
      <c r="N56" s="30">
        <v>2</v>
      </c>
      <c r="O56" s="30">
        <v>2</v>
      </c>
      <c r="P56" s="30">
        <v>2</v>
      </c>
      <c r="Q56" s="30">
        <v>2</v>
      </c>
      <c r="R56" s="30">
        <v>2</v>
      </c>
      <c r="S56" s="30">
        <v>2</v>
      </c>
      <c r="T56" s="2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</row>
    <row r="57" spans="1:33" ht="16.5" customHeight="1" thickBot="1">
      <c r="A57" s="123"/>
      <c r="B57" s="95"/>
      <c r="C57" s="62" t="s">
        <v>184</v>
      </c>
      <c r="D57" s="68"/>
      <c r="E57" s="64" t="s">
        <v>40</v>
      </c>
      <c r="F57" s="120"/>
      <c r="G57" s="30">
        <v>2.5</v>
      </c>
      <c r="H57" s="30">
        <v>2</v>
      </c>
      <c r="I57" s="30">
        <v>2</v>
      </c>
      <c r="J57" s="30">
        <v>2</v>
      </c>
      <c r="K57" s="30">
        <v>2</v>
      </c>
      <c r="L57" s="30">
        <v>2</v>
      </c>
      <c r="M57" s="30">
        <v>2</v>
      </c>
      <c r="N57" s="30">
        <v>2</v>
      </c>
      <c r="O57" s="30">
        <v>2</v>
      </c>
      <c r="P57" s="30">
        <v>2</v>
      </c>
      <c r="Q57" s="30">
        <v>2</v>
      </c>
      <c r="R57" s="30">
        <v>2</v>
      </c>
      <c r="S57" s="30">
        <v>2</v>
      </c>
      <c r="T57" s="30">
        <v>2</v>
      </c>
      <c r="U57" s="2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</row>
    <row r="58" spans="1:33" ht="16.5" customHeight="1" thickBot="1">
      <c r="A58" s="123"/>
      <c r="B58" s="95"/>
      <c r="C58" s="28"/>
      <c r="D58" s="1"/>
      <c r="E58" s="29"/>
      <c r="F58" s="1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14">
        <v>0.5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30">
        <v>0</v>
      </c>
      <c r="AG58" s="30">
        <v>0</v>
      </c>
    </row>
    <row r="59" spans="1:33" ht="16.5" customHeight="1" thickBot="1">
      <c r="A59" s="123"/>
      <c r="B59" s="95"/>
      <c r="C59" s="62" t="s">
        <v>185</v>
      </c>
      <c r="D59" s="120"/>
      <c r="E59" s="64" t="s">
        <v>35</v>
      </c>
      <c r="F59" s="120"/>
      <c r="G59" s="30">
        <v>3</v>
      </c>
      <c r="H59" s="30">
        <v>2</v>
      </c>
      <c r="I59" s="30">
        <v>2</v>
      </c>
      <c r="J59" s="30">
        <v>2</v>
      </c>
      <c r="K59" s="30">
        <v>2</v>
      </c>
      <c r="L59" s="30">
        <v>2</v>
      </c>
      <c r="M59" s="30">
        <v>2</v>
      </c>
      <c r="N59" s="30">
        <v>2</v>
      </c>
      <c r="O59" s="30">
        <v>2</v>
      </c>
      <c r="P59" s="30">
        <v>2</v>
      </c>
      <c r="Q59" s="30">
        <v>2</v>
      </c>
      <c r="R59" s="30">
        <v>2</v>
      </c>
      <c r="S59" s="30">
        <v>2</v>
      </c>
      <c r="T59" s="30">
        <v>2</v>
      </c>
      <c r="U59" s="30">
        <v>2</v>
      </c>
      <c r="V59" s="30">
        <v>2</v>
      </c>
      <c r="W59" s="30">
        <v>2</v>
      </c>
      <c r="X59" s="30">
        <v>2</v>
      </c>
      <c r="Y59" s="30">
        <v>2</v>
      </c>
      <c r="Z59" s="30">
        <v>2</v>
      </c>
      <c r="AA59" s="30">
        <v>2</v>
      </c>
      <c r="AB59" s="30">
        <v>2</v>
      </c>
      <c r="AC59" s="20">
        <v>0</v>
      </c>
      <c r="AD59" s="30">
        <v>0</v>
      </c>
      <c r="AE59" s="30">
        <v>0</v>
      </c>
      <c r="AF59" s="30">
        <v>0</v>
      </c>
      <c r="AG59" s="30">
        <v>0</v>
      </c>
    </row>
    <row r="60" spans="1:33" ht="16.5" customHeight="1" thickBot="1">
      <c r="A60" s="123"/>
      <c r="B60" s="95"/>
      <c r="C60" s="28"/>
      <c r="D60" s="33"/>
      <c r="E60" s="29"/>
      <c r="F60" s="1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14">
        <v>1</v>
      </c>
      <c r="AD60" s="30"/>
      <c r="AE60" s="30"/>
      <c r="AF60" s="30"/>
      <c r="AG60" s="30"/>
    </row>
    <row r="61" spans="1:33" ht="16.5" customHeight="1" thickBot="1">
      <c r="A61" s="123"/>
      <c r="B61" s="95"/>
      <c r="C61" s="62" t="s">
        <v>186</v>
      </c>
      <c r="D61" s="68"/>
      <c r="E61" s="64" t="s">
        <v>40</v>
      </c>
      <c r="F61" s="120"/>
      <c r="G61" s="30">
        <v>2</v>
      </c>
      <c r="H61" s="30">
        <v>2</v>
      </c>
      <c r="I61" s="30">
        <v>2</v>
      </c>
      <c r="J61" s="30">
        <v>2</v>
      </c>
      <c r="K61" s="30">
        <v>2</v>
      </c>
      <c r="L61" s="30">
        <v>2</v>
      </c>
      <c r="M61" s="30">
        <v>2</v>
      </c>
      <c r="N61" s="30">
        <v>2</v>
      </c>
      <c r="O61" s="30">
        <v>2</v>
      </c>
      <c r="P61" s="30">
        <v>2</v>
      </c>
      <c r="Q61" s="30">
        <v>2</v>
      </c>
      <c r="R61" s="30">
        <v>2</v>
      </c>
      <c r="S61" s="30"/>
      <c r="T61" s="30">
        <v>2</v>
      </c>
      <c r="U61" s="30">
        <v>2</v>
      </c>
      <c r="V61" s="30">
        <v>2</v>
      </c>
      <c r="W61" s="30">
        <v>2</v>
      </c>
      <c r="X61" s="30">
        <v>2</v>
      </c>
      <c r="Y61" s="2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</row>
    <row r="62" spans="1:33" ht="16.5" customHeight="1" thickBot="1">
      <c r="A62" s="123"/>
      <c r="B62" s="77" t="s">
        <v>78</v>
      </c>
      <c r="C62" s="62" t="s">
        <v>187</v>
      </c>
      <c r="D62" s="120"/>
      <c r="E62" s="64" t="s">
        <v>38</v>
      </c>
      <c r="F62" s="120"/>
      <c r="G62" s="30">
        <v>2</v>
      </c>
      <c r="H62" s="30">
        <v>2</v>
      </c>
      <c r="I62" s="30">
        <v>2</v>
      </c>
      <c r="J62" s="30">
        <v>2</v>
      </c>
      <c r="K62" s="30">
        <v>2</v>
      </c>
      <c r="L62" s="30">
        <v>2</v>
      </c>
      <c r="M62" s="30">
        <v>2</v>
      </c>
      <c r="N62" s="30">
        <v>2</v>
      </c>
      <c r="O62" s="30">
        <v>2</v>
      </c>
      <c r="P62" s="30">
        <v>2</v>
      </c>
      <c r="Q62" s="30">
        <v>2</v>
      </c>
      <c r="R62" s="30">
        <v>2</v>
      </c>
      <c r="S62" s="2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</row>
    <row r="63" spans="1:33" ht="16.5" customHeight="1" thickBot="1">
      <c r="A63" s="123"/>
      <c r="B63" s="95"/>
      <c r="C63" s="62" t="s">
        <v>188</v>
      </c>
      <c r="D63" s="122"/>
      <c r="E63" s="64" t="s">
        <v>65</v>
      </c>
      <c r="F63" s="66"/>
      <c r="G63" s="30">
        <v>2</v>
      </c>
      <c r="H63" s="30">
        <v>2</v>
      </c>
      <c r="I63" s="30">
        <v>2</v>
      </c>
      <c r="J63" s="30">
        <v>2</v>
      </c>
      <c r="K63" s="30">
        <v>2</v>
      </c>
      <c r="L63" s="30">
        <v>2</v>
      </c>
      <c r="M63" s="30">
        <v>2</v>
      </c>
      <c r="N63" s="30">
        <v>2</v>
      </c>
      <c r="O63" s="30">
        <v>2</v>
      </c>
      <c r="P63" s="30">
        <v>2</v>
      </c>
      <c r="Q63" s="30">
        <v>2</v>
      </c>
      <c r="R63" s="30">
        <v>2</v>
      </c>
      <c r="S63" s="2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</row>
    <row r="64" spans="1:33" ht="16.5" customHeight="1" thickBot="1">
      <c r="A64" s="123"/>
      <c r="B64" s="95"/>
      <c r="C64" s="62" t="s">
        <v>189</v>
      </c>
      <c r="D64" s="122"/>
      <c r="E64" s="64" t="s">
        <v>190</v>
      </c>
      <c r="F64" s="66"/>
      <c r="G64" s="30">
        <v>2</v>
      </c>
      <c r="H64" s="30">
        <v>2</v>
      </c>
      <c r="I64" s="30">
        <v>2</v>
      </c>
      <c r="J64" s="30">
        <v>2</v>
      </c>
      <c r="K64" s="30">
        <v>2</v>
      </c>
      <c r="L64" s="30">
        <v>2</v>
      </c>
      <c r="M64" s="30">
        <v>2</v>
      </c>
      <c r="N64" s="30">
        <v>2</v>
      </c>
      <c r="O64" s="30">
        <v>2</v>
      </c>
      <c r="P64" s="30">
        <v>2</v>
      </c>
      <c r="Q64" s="30">
        <v>2</v>
      </c>
      <c r="R64" s="30">
        <v>2</v>
      </c>
      <c r="S64" s="30">
        <v>2</v>
      </c>
      <c r="T64" s="30">
        <v>2</v>
      </c>
      <c r="U64" s="2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</row>
    <row r="65" spans="1:33" ht="16.5" customHeight="1" thickBot="1">
      <c r="A65" s="123"/>
      <c r="B65" s="95"/>
      <c r="C65" s="62" t="s">
        <v>191</v>
      </c>
      <c r="D65" s="68"/>
      <c r="E65" s="64" t="s">
        <v>48</v>
      </c>
      <c r="F65" s="66"/>
      <c r="G65" s="30">
        <v>9</v>
      </c>
      <c r="H65" s="30">
        <v>2</v>
      </c>
      <c r="I65" s="30">
        <v>2</v>
      </c>
      <c r="J65" s="30">
        <v>2</v>
      </c>
      <c r="K65" s="30">
        <v>2</v>
      </c>
      <c r="L65" s="30">
        <v>2</v>
      </c>
      <c r="M65" s="30">
        <v>2</v>
      </c>
      <c r="N65" s="30">
        <v>2</v>
      </c>
      <c r="O65" s="30">
        <v>2</v>
      </c>
      <c r="P65" s="30">
        <v>2</v>
      </c>
      <c r="Q65" s="30">
        <v>2</v>
      </c>
      <c r="R65" s="30">
        <v>2</v>
      </c>
      <c r="S65" s="30">
        <v>2</v>
      </c>
      <c r="T65" s="30">
        <v>2</v>
      </c>
      <c r="U65" s="30">
        <v>2</v>
      </c>
      <c r="V65" s="2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</row>
    <row r="66" spans="1:33" ht="16.5" customHeight="1" thickBot="1">
      <c r="A66" s="123"/>
      <c r="B66" s="95"/>
      <c r="C66" s="28"/>
      <c r="D66" s="1"/>
      <c r="E66" s="29"/>
      <c r="F66" s="34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14">
        <v>7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</row>
    <row r="67" spans="1:33" ht="16.5" customHeight="1" thickBot="1">
      <c r="A67" s="123"/>
      <c r="B67" s="95"/>
      <c r="C67" s="62" t="s">
        <v>192</v>
      </c>
      <c r="D67" s="120"/>
      <c r="E67" s="64" t="s">
        <v>27</v>
      </c>
      <c r="F67" s="66"/>
      <c r="G67" s="30">
        <v>4</v>
      </c>
      <c r="H67" s="30">
        <v>2</v>
      </c>
      <c r="I67" s="30">
        <v>2</v>
      </c>
      <c r="J67" s="30">
        <v>2</v>
      </c>
      <c r="K67" s="30">
        <v>2</v>
      </c>
      <c r="L67" s="30">
        <v>2</v>
      </c>
      <c r="M67" s="30">
        <v>2</v>
      </c>
      <c r="N67" s="30">
        <v>2</v>
      </c>
      <c r="O67" s="30">
        <v>2</v>
      </c>
      <c r="P67" s="30">
        <v>2</v>
      </c>
      <c r="Q67" s="30">
        <v>2</v>
      </c>
      <c r="R67" s="30">
        <v>2</v>
      </c>
      <c r="S67" s="30">
        <v>2</v>
      </c>
      <c r="T67" s="30">
        <v>2</v>
      </c>
      <c r="U67" s="30">
        <v>2</v>
      </c>
      <c r="V67" s="30">
        <v>2</v>
      </c>
      <c r="W67" s="30">
        <v>2</v>
      </c>
      <c r="X67" s="30">
        <v>2</v>
      </c>
      <c r="Y67" s="30">
        <v>2</v>
      </c>
      <c r="Z67" s="30">
        <v>2</v>
      </c>
      <c r="AA67" s="30">
        <v>2</v>
      </c>
      <c r="AB67" s="30">
        <v>2</v>
      </c>
      <c r="AC67" s="30">
        <v>2</v>
      </c>
      <c r="AD67" s="20">
        <v>0</v>
      </c>
      <c r="AE67" s="30">
        <v>0</v>
      </c>
      <c r="AF67" s="30">
        <v>0</v>
      </c>
      <c r="AG67" s="30">
        <v>0</v>
      </c>
    </row>
    <row r="68" spans="1:33" ht="16.5" customHeight="1" thickBot="1">
      <c r="A68" s="123"/>
      <c r="B68" s="123"/>
      <c r="C68" s="28"/>
      <c r="D68" s="33"/>
      <c r="E68" s="29"/>
      <c r="F68" s="1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14">
        <v>2</v>
      </c>
      <c r="AE68" s="30"/>
      <c r="AF68" s="30"/>
      <c r="AG68" s="30"/>
    </row>
    <row r="69" spans="1:33" ht="16.5" customHeight="1" thickBot="1">
      <c r="A69" s="123"/>
      <c r="B69" s="123"/>
      <c r="C69" s="62" t="s">
        <v>193</v>
      </c>
      <c r="D69" s="68"/>
      <c r="E69" s="64" t="s">
        <v>38</v>
      </c>
      <c r="F69" s="120"/>
      <c r="G69" s="30">
        <v>2</v>
      </c>
      <c r="H69" s="30">
        <v>2</v>
      </c>
      <c r="I69" s="30">
        <v>2</v>
      </c>
      <c r="J69" s="30">
        <v>2</v>
      </c>
      <c r="K69" s="30">
        <v>2</v>
      </c>
      <c r="L69" s="30">
        <v>2</v>
      </c>
      <c r="M69" s="30">
        <v>2</v>
      </c>
      <c r="N69" s="30">
        <v>2</v>
      </c>
      <c r="O69" s="30">
        <v>2</v>
      </c>
      <c r="P69" s="30">
        <v>2</v>
      </c>
      <c r="Q69" s="30">
        <v>2</v>
      </c>
      <c r="R69" s="30">
        <v>2</v>
      </c>
      <c r="S69" s="30">
        <v>2</v>
      </c>
      <c r="T69" s="30">
        <v>2</v>
      </c>
      <c r="U69" s="30">
        <v>2</v>
      </c>
      <c r="V69" s="30">
        <v>2</v>
      </c>
      <c r="W69" s="30">
        <v>2</v>
      </c>
      <c r="X69" s="30">
        <v>2</v>
      </c>
      <c r="Y69" s="30">
        <v>2</v>
      </c>
      <c r="Z69" s="2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30">
        <v>0</v>
      </c>
      <c r="AG69" s="30">
        <v>0</v>
      </c>
    </row>
    <row r="70" spans="1:33" ht="16.5" customHeight="1" thickBot="1">
      <c r="A70" s="123"/>
      <c r="B70" s="77" t="s">
        <v>87</v>
      </c>
      <c r="C70" s="62" t="s">
        <v>194</v>
      </c>
      <c r="D70" s="120"/>
      <c r="E70" s="64" t="s">
        <v>35</v>
      </c>
      <c r="F70" s="120"/>
      <c r="G70" s="30">
        <v>2</v>
      </c>
      <c r="H70" s="30">
        <v>2</v>
      </c>
      <c r="I70" s="30">
        <v>2</v>
      </c>
      <c r="J70" s="30">
        <v>2</v>
      </c>
      <c r="K70" s="30">
        <v>2</v>
      </c>
      <c r="L70" s="30">
        <v>2</v>
      </c>
      <c r="M70" s="30">
        <v>2</v>
      </c>
      <c r="N70" s="30">
        <v>2</v>
      </c>
      <c r="O70" s="30">
        <v>2</v>
      </c>
      <c r="P70" s="30">
        <v>2</v>
      </c>
      <c r="Q70" s="30">
        <v>2</v>
      </c>
      <c r="R70" s="30">
        <v>2</v>
      </c>
      <c r="S70" s="30"/>
      <c r="T70" s="2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</row>
    <row r="71" spans="1:33" ht="16.5" customHeight="1" thickBot="1">
      <c r="A71" s="123"/>
      <c r="B71" s="95"/>
      <c r="C71" s="62" t="s">
        <v>195</v>
      </c>
      <c r="D71" s="122"/>
      <c r="E71" s="64" t="s">
        <v>40</v>
      </c>
      <c r="F71" s="120"/>
      <c r="G71" s="30">
        <v>2</v>
      </c>
      <c r="H71" s="30">
        <v>2</v>
      </c>
      <c r="I71" s="30">
        <v>2</v>
      </c>
      <c r="J71" s="30">
        <v>2</v>
      </c>
      <c r="K71" s="30">
        <v>2</v>
      </c>
      <c r="L71" s="30">
        <v>2</v>
      </c>
      <c r="M71" s="30">
        <v>2</v>
      </c>
      <c r="N71" s="30">
        <v>2</v>
      </c>
      <c r="O71" s="30">
        <v>2</v>
      </c>
      <c r="P71" s="30">
        <v>2</v>
      </c>
      <c r="Q71" s="30">
        <v>2</v>
      </c>
      <c r="R71" s="30">
        <v>2</v>
      </c>
      <c r="S71" s="30"/>
      <c r="T71" s="2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30">
        <v>0</v>
      </c>
      <c r="AG71" s="30">
        <v>0</v>
      </c>
    </row>
    <row r="72" spans="1:33" ht="16.5" customHeight="1" thickBot="1">
      <c r="A72" s="123"/>
      <c r="B72" s="95"/>
      <c r="C72" s="62" t="s">
        <v>196</v>
      </c>
      <c r="D72" s="122"/>
      <c r="E72" s="64" t="s">
        <v>35</v>
      </c>
      <c r="F72" s="120"/>
      <c r="G72" s="30">
        <v>2</v>
      </c>
      <c r="H72" s="30">
        <v>2</v>
      </c>
      <c r="I72" s="30">
        <v>2</v>
      </c>
      <c r="J72" s="30">
        <v>2</v>
      </c>
      <c r="K72" s="30">
        <v>2</v>
      </c>
      <c r="L72" s="30">
        <v>2</v>
      </c>
      <c r="M72" s="30">
        <v>2</v>
      </c>
      <c r="N72" s="30">
        <v>2</v>
      </c>
      <c r="O72" s="30">
        <v>2</v>
      </c>
      <c r="P72" s="30">
        <v>2</v>
      </c>
      <c r="Q72" s="30">
        <v>2</v>
      </c>
      <c r="R72" s="30">
        <v>2</v>
      </c>
      <c r="S72" s="30">
        <v>2</v>
      </c>
      <c r="T72" s="30">
        <v>2</v>
      </c>
      <c r="U72" s="30">
        <v>2</v>
      </c>
      <c r="V72" s="2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</row>
    <row r="73" spans="1:33" ht="16.5" customHeight="1" thickBot="1">
      <c r="A73" s="123"/>
      <c r="B73" s="95"/>
      <c r="C73" s="62" t="s">
        <v>197</v>
      </c>
      <c r="D73" s="68"/>
      <c r="E73" s="64" t="s">
        <v>40</v>
      </c>
      <c r="F73" s="120"/>
      <c r="G73" s="30">
        <v>4</v>
      </c>
      <c r="H73" s="30">
        <v>2</v>
      </c>
      <c r="I73" s="30">
        <v>2</v>
      </c>
      <c r="J73" s="30">
        <v>2</v>
      </c>
      <c r="K73" s="30">
        <v>2</v>
      </c>
      <c r="L73" s="30">
        <v>2</v>
      </c>
      <c r="M73" s="30">
        <v>2</v>
      </c>
      <c r="N73" s="30">
        <v>2</v>
      </c>
      <c r="O73" s="30">
        <v>2</v>
      </c>
      <c r="P73" s="30">
        <v>2</v>
      </c>
      <c r="Q73" s="30">
        <v>2</v>
      </c>
      <c r="R73" s="30">
        <v>2</v>
      </c>
      <c r="S73" s="30">
        <v>2</v>
      </c>
      <c r="T73" s="30">
        <v>2</v>
      </c>
      <c r="U73" s="30">
        <v>2</v>
      </c>
      <c r="V73" s="30">
        <v>2</v>
      </c>
      <c r="W73" s="2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</row>
    <row r="74" spans="1:33" ht="16.5" customHeight="1" thickBot="1">
      <c r="A74" s="123"/>
      <c r="B74" s="95"/>
      <c r="C74" s="28"/>
      <c r="D74" s="1"/>
      <c r="E74" s="29"/>
      <c r="F74" s="1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14">
        <v>2</v>
      </c>
      <c r="X74" s="30"/>
      <c r="Y74" s="30"/>
      <c r="Z74" s="30"/>
      <c r="AA74" s="30"/>
      <c r="AB74" s="30"/>
      <c r="AC74" s="30"/>
      <c r="AD74" s="30"/>
      <c r="AE74" s="30"/>
      <c r="AF74" s="30"/>
      <c r="AG74" s="30"/>
    </row>
    <row r="75" spans="1:33" ht="16.5" customHeight="1" thickBot="1">
      <c r="A75" s="123"/>
      <c r="B75" s="95"/>
      <c r="C75" s="62" t="s">
        <v>198</v>
      </c>
      <c r="D75" s="120"/>
      <c r="E75" s="64" t="s">
        <v>35</v>
      </c>
      <c r="F75" s="120"/>
      <c r="G75" s="30">
        <v>3</v>
      </c>
      <c r="H75" s="30">
        <v>2</v>
      </c>
      <c r="I75" s="30">
        <v>2</v>
      </c>
      <c r="J75" s="30">
        <v>2</v>
      </c>
      <c r="K75" s="30">
        <v>2</v>
      </c>
      <c r="L75" s="30">
        <v>2</v>
      </c>
      <c r="M75" s="30">
        <v>2</v>
      </c>
      <c r="N75" s="30">
        <v>2</v>
      </c>
      <c r="O75" s="30">
        <v>2</v>
      </c>
      <c r="P75" s="30">
        <v>2</v>
      </c>
      <c r="Q75" s="30">
        <v>2</v>
      </c>
      <c r="R75" s="30">
        <v>2</v>
      </c>
      <c r="S75" s="30">
        <v>2</v>
      </c>
      <c r="T75" s="30">
        <v>2</v>
      </c>
      <c r="U75" s="30">
        <v>2</v>
      </c>
      <c r="V75" s="30">
        <v>2</v>
      </c>
      <c r="W75" s="30">
        <v>2</v>
      </c>
      <c r="X75" s="30">
        <v>2</v>
      </c>
      <c r="Y75" s="30">
        <v>2</v>
      </c>
      <c r="Z75" s="30">
        <v>2</v>
      </c>
      <c r="AA75" s="30">
        <v>2</v>
      </c>
      <c r="AB75" s="30">
        <v>2</v>
      </c>
      <c r="AC75" s="30">
        <v>2</v>
      </c>
      <c r="AD75" s="30">
        <v>2</v>
      </c>
      <c r="AE75" s="20">
        <v>0</v>
      </c>
      <c r="AF75" s="30">
        <v>0</v>
      </c>
      <c r="AG75" s="30">
        <v>0</v>
      </c>
    </row>
    <row r="76" spans="1:33" ht="16.5" customHeight="1" thickBot="1">
      <c r="A76" s="123"/>
      <c r="B76" s="123"/>
      <c r="C76" s="28"/>
      <c r="D76" s="33"/>
      <c r="E76" s="29"/>
      <c r="F76" s="1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14">
        <v>1</v>
      </c>
      <c r="AF76" s="30"/>
      <c r="AG76" s="30"/>
    </row>
    <row r="77" spans="1:33" ht="16.5" customHeight="1" thickBot="1">
      <c r="A77" s="123"/>
      <c r="B77" s="123"/>
      <c r="C77" s="62" t="s">
        <v>199</v>
      </c>
      <c r="D77" s="68"/>
      <c r="E77" s="64" t="s">
        <v>40</v>
      </c>
      <c r="F77" s="120"/>
      <c r="G77" s="30">
        <v>2</v>
      </c>
      <c r="H77" s="30">
        <v>2</v>
      </c>
      <c r="I77" s="30">
        <v>2</v>
      </c>
      <c r="J77" s="30">
        <v>2</v>
      </c>
      <c r="K77" s="30">
        <v>2</v>
      </c>
      <c r="L77" s="30">
        <v>2</v>
      </c>
      <c r="M77" s="30">
        <v>2</v>
      </c>
      <c r="N77" s="30">
        <v>2</v>
      </c>
      <c r="O77" s="30">
        <v>2</v>
      </c>
      <c r="P77" s="30">
        <v>2</v>
      </c>
      <c r="Q77" s="30">
        <v>2</v>
      </c>
      <c r="R77" s="30">
        <v>2</v>
      </c>
      <c r="S77" s="30">
        <v>2</v>
      </c>
      <c r="T77" s="30">
        <v>2</v>
      </c>
      <c r="U77" s="30">
        <v>2</v>
      </c>
      <c r="V77" s="30">
        <v>2</v>
      </c>
      <c r="W77" s="30">
        <v>2</v>
      </c>
      <c r="X77" s="30">
        <v>2</v>
      </c>
      <c r="Y77" s="30">
        <v>2</v>
      </c>
      <c r="Z77" s="30">
        <v>2</v>
      </c>
      <c r="AA77" s="2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</row>
    <row r="78" spans="1:33" ht="16.5" customHeight="1" thickBot="1">
      <c r="A78" s="123"/>
      <c r="B78" s="77" t="s">
        <v>200</v>
      </c>
      <c r="C78" s="62" t="s">
        <v>201</v>
      </c>
      <c r="D78" s="120"/>
      <c r="E78" s="64" t="s">
        <v>25</v>
      </c>
      <c r="F78" s="120"/>
      <c r="G78" s="30">
        <v>5</v>
      </c>
      <c r="H78" s="30">
        <v>5</v>
      </c>
      <c r="I78" s="30">
        <v>5</v>
      </c>
      <c r="J78" s="30">
        <v>5</v>
      </c>
      <c r="K78" s="30">
        <v>5</v>
      </c>
      <c r="L78" s="30">
        <v>5</v>
      </c>
      <c r="M78" s="30">
        <v>5</v>
      </c>
      <c r="N78" s="30">
        <v>5</v>
      </c>
      <c r="O78" s="30">
        <v>5</v>
      </c>
      <c r="P78" s="30">
        <v>5</v>
      </c>
      <c r="Q78" s="30">
        <v>5</v>
      </c>
      <c r="R78" s="30">
        <v>5</v>
      </c>
      <c r="S78" s="30">
        <v>5</v>
      </c>
      <c r="T78" s="30">
        <v>5</v>
      </c>
      <c r="U78" s="30">
        <v>5</v>
      </c>
      <c r="V78" s="30">
        <v>5</v>
      </c>
      <c r="W78" s="30">
        <v>5</v>
      </c>
      <c r="X78" s="30">
        <v>5</v>
      </c>
      <c r="Y78" s="30">
        <v>5</v>
      </c>
      <c r="Z78" s="30">
        <v>5</v>
      </c>
      <c r="AA78" s="30">
        <v>5</v>
      </c>
      <c r="AB78" s="30">
        <v>5</v>
      </c>
      <c r="AC78" s="30">
        <v>5</v>
      </c>
      <c r="AD78" s="30">
        <v>5</v>
      </c>
      <c r="AE78" s="30">
        <v>5</v>
      </c>
      <c r="AF78" s="20">
        <v>0</v>
      </c>
      <c r="AG78" s="30">
        <v>0</v>
      </c>
    </row>
    <row r="79" spans="1:33" ht="16.5" customHeight="1">
      <c r="A79" s="123"/>
      <c r="B79" s="124"/>
      <c r="C79" s="62" t="s">
        <v>202</v>
      </c>
      <c r="D79" s="120"/>
      <c r="E79" s="64" t="s">
        <v>25</v>
      </c>
      <c r="F79" s="120"/>
      <c r="G79" s="30">
        <v>5</v>
      </c>
      <c r="H79" s="30">
        <v>5</v>
      </c>
      <c r="I79" s="30">
        <v>5</v>
      </c>
      <c r="J79" s="30">
        <v>5</v>
      </c>
      <c r="K79" s="30">
        <v>5</v>
      </c>
      <c r="L79" s="30">
        <v>5</v>
      </c>
      <c r="M79" s="30">
        <v>5</v>
      </c>
      <c r="N79" s="30">
        <v>5</v>
      </c>
      <c r="O79" s="30">
        <v>5</v>
      </c>
      <c r="P79" s="30">
        <v>5</v>
      </c>
      <c r="Q79" s="30">
        <v>5</v>
      </c>
      <c r="R79" s="30">
        <v>5</v>
      </c>
      <c r="S79" s="30">
        <v>5</v>
      </c>
      <c r="T79" s="30">
        <v>5</v>
      </c>
      <c r="U79" s="30">
        <v>5</v>
      </c>
      <c r="V79" s="30">
        <v>5</v>
      </c>
      <c r="W79" s="30">
        <v>5</v>
      </c>
      <c r="X79" s="30">
        <v>5</v>
      </c>
      <c r="Y79" s="30">
        <v>5</v>
      </c>
      <c r="Z79" s="30">
        <v>5</v>
      </c>
      <c r="AA79" s="30">
        <v>5</v>
      </c>
      <c r="AB79" s="30">
        <v>5</v>
      </c>
      <c r="AC79" s="30">
        <v>5</v>
      </c>
      <c r="AD79" s="30">
        <v>5</v>
      </c>
      <c r="AE79" s="30">
        <v>5</v>
      </c>
      <c r="AF79" s="30">
        <v>5</v>
      </c>
      <c r="AG79" s="20">
        <v>0</v>
      </c>
    </row>
    <row r="80" spans="1:33" ht="16.5" customHeight="1">
      <c r="A80" s="123"/>
      <c r="B80" s="125" t="s">
        <v>19</v>
      </c>
      <c r="C80" s="126"/>
      <c r="D80" s="127"/>
      <c r="E80" s="74" t="s">
        <v>12</v>
      </c>
      <c r="F80" s="120"/>
      <c r="G80" s="64">
        <f>SUM(G16:G79)</f>
        <v>191.5</v>
      </c>
      <c r="H80" s="120"/>
      <c r="I80" s="30">
        <f>SUM(I16:I79)</f>
        <v>162</v>
      </c>
      <c r="J80" s="30">
        <f>SUM(J16:J79)</f>
        <v>151</v>
      </c>
      <c r="K80" s="30">
        <f>SUM(K16:K79)-K23-K21</f>
        <v>144</v>
      </c>
      <c r="L80" s="30">
        <f t="shared" ref="L80:AF80" si="0">SUM(L16:L79)</f>
        <v>138</v>
      </c>
      <c r="M80" s="30">
        <f t="shared" si="0"/>
        <v>135</v>
      </c>
      <c r="N80" s="30">
        <f t="shared" si="0"/>
        <v>132</v>
      </c>
      <c r="O80" s="30">
        <f t="shared" si="0"/>
        <v>123</v>
      </c>
      <c r="P80" s="30">
        <f t="shared" si="0"/>
        <v>116</v>
      </c>
      <c r="Q80" s="30">
        <f t="shared" si="0"/>
        <v>96</v>
      </c>
      <c r="R80" s="30">
        <f t="shared" si="0"/>
        <v>91</v>
      </c>
      <c r="S80" s="30">
        <f t="shared" si="0"/>
        <v>73</v>
      </c>
      <c r="T80" s="30">
        <f t="shared" si="0"/>
        <v>67</v>
      </c>
      <c r="U80" s="30">
        <f t="shared" si="0"/>
        <v>60.5</v>
      </c>
      <c r="V80" s="30">
        <f t="shared" si="0"/>
        <v>61</v>
      </c>
      <c r="W80" s="30">
        <f t="shared" si="0"/>
        <v>50</v>
      </c>
      <c r="X80" s="30">
        <f t="shared" si="0"/>
        <v>46</v>
      </c>
      <c r="Y80" s="30">
        <f t="shared" si="0"/>
        <v>36</v>
      </c>
      <c r="Z80" s="30">
        <f t="shared" si="0"/>
        <v>34</v>
      </c>
      <c r="AA80" s="30">
        <f t="shared" si="0"/>
        <v>32</v>
      </c>
      <c r="AB80" s="30">
        <f>SUM(AB16:AB79)</f>
        <v>29</v>
      </c>
      <c r="AC80" s="30">
        <f>SUM(AC16:AC79)</f>
        <v>15</v>
      </c>
      <c r="AD80" s="30">
        <f>SUM(AD16:AD79)</f>
        <v>14</v>
      </c>
      <c r="AE80" s="30">
        <f t="shared" si="0"/>
        <v>11</v>
      </c>
      <c r="AF80" s="30">
        <f t="shared" si="0"/>
        <v>5</v>
      </c>
      <c r="AG80" s="30">
        <f>SUM(AG16:AG79)</f>
        <v>0</v>
      </c>
    </row>
    <row r="81" spans="1:33" ht="16.5" customHeight="1">
      <c r="A81" s="124"/>
      <c r="B81" s="128"/>
      <c r="C81" s="129"/>
      <c r="D81" s="130"/>
      <c r="E81" s="74" t="s">
        <v>13</v>
      </c>
      <c r="F81" s="120"/>
      <c r="G81" s="64">
        <f>SUM(H16:H79)</f>
        <v>172</v>
      </c>
      <c r="H81" s="120"/>
      <c r="I81" s="30">
        <f>SUM(I16:I79)</f>
        <v>162</v>
      </c>
      <c r="J81" s="30">
        <f>SUM(J16:J79)+K20</f>
        <v>152</v>
      </c>
      <c r="K81" s="30">
        <f>SUM(K16:K79)-K20+L25</f>
        <v>146</v>
      </c>
      <c r="L81" s="30">
        <f>SUM(L16:L79)-L25+M29</f>
        <v>138</v>
      </c>
      <c r="M81" s="30">
        <f>SUM(M16:M79)-M29</f>
        <v>134</v>
      </c>
      <c r="N81" s="30">
        <f>SUM(N16:N79)-N33</f>
        <v>130</v>
      </c>
      <c r="O81" s="30">
        <f>SUM(O16:O79)</f>
        <v>123</v>
      </c>
      <c r="P81" s="30">
        <f>SUM(P16:P79)</f>
        <v>116</v>
      </c>
      <c r="Q81" s="30">
        <f>SUM(Q16:Q79)-Q46</f>
        <v>95</v>
      </c>
      <c r="R81" s="30">
        <f>SUM(R16:R79)</f>
        <v>91</v>
      </c>
      <c r="S81" s="30">
        <f>SUM(S16:S79)</f>
        <v>73</v>
      </c>
      <c r="T81" s="30">
        <f>SUM(T16:T79)-T44</f>
        <v>64</v>
      </c>
      <c r="U81" s="30">
        <f>SUM(U16:U79)-U58</f>
        <v>60</v>
      </c>
      <c r="V81" s="30">
        <f>SUM(V16:V79)-V66+W51</f>
        <v>56</v>
      </c>
      <c r="W81" s="30">
        <f>SUM(W16:W79)-W74-W51</f>
        <v>46</v>
      </c>
      <c r="X81" s="30">
        <f>SUM(X16:X79)</f>
        <v>46</v>
      </c>
      <c r="Y81" s="30">
        <f t="shared" ref="Y81:AG81" si="1">SUM(Y16:Y79)</f>
        <v>36</v>
      </c>
      <c r="Z81" s="30">
        <f>SUM(Z16:Z79)</f>
        <v>34</v>
      </c>
      <c r="AA81" s="30">
        <f>SUM(AA16:AA79)</f>
        <v>32</v>
      </c>
      <c r="AB81" s="30">
        <f>SUM(AB16:AB79)-AB48</f>
        <v>24</v>
      </c>
      <c r="AC81" s="30">
        <f>SUM(AC16:AC79)-AC60</f>
        <v>14</v>
      </c>
      <c r="AD81" s="30">
        <f>SUM(AD16:AD79)-AD68</f>
        <v>12</v>
      </c>
      <c r="AE81" s="30">
        <f>SUM(AE16:AE79)-AE76</f>
        <v>10</v>
      </c>
      <c r="AF81" s="30">
        <f t="shared" si="1"/>
        <v>5</v>
      </c>
      <c r="AG81" s="30">
        <f t="shared" si="1"/>
        <v>0</v>
      </c>
    </row>
    <row r="82" spans="1:33" ht="16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33" ht="16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33" ht="16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33" ht="16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33" ht="16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33" ht="16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33" ht="16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33" ht="16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33" ht="16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33" ht="16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33" ht="16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33" ht="16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33" ht="16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33" ht="16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33" ht="16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6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6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6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6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6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6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6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6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6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6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6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6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6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6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6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6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6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6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6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6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6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6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6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6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6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6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6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6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6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6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6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6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6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6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6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6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6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6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6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6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6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6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6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6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6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6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6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6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6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6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6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6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6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6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6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6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6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6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6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6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6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6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6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6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6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6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6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6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6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6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6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6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6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6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6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6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6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6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6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6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6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6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6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6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6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6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6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6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6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6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6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6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6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6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6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6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6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6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6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6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6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6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6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6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6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6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6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6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6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6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6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6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6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6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6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6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6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6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6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6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6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6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6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6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6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6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6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6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6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6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6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6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6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6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6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6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6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6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6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6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6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6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6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6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6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6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6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6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6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6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6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6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6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6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6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6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6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6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6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6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6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6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6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6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6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6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6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6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6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6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6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6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6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6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6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6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6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6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6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6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6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6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6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6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6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6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6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6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6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6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6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6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6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6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6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6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6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6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6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6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6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6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6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6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6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6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6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6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6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6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6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6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6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6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6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6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6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6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6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6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6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6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6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6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6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6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6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6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6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6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6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6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6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6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6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6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6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6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6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6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6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6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6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6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6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6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6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6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6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6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6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6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6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6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6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6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6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6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6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6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6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6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6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6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6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6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6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6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6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6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6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6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6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6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6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6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6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6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6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6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6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6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6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6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6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6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6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6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6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6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6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6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6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6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6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6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6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6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6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6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6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6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6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6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6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6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6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6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6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6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6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6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6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6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6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6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6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6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6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6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6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6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6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6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6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6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6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6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6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6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6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6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6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6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6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6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6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6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6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6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6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6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6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6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6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6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6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6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6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6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6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6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6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6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6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6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6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6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6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6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6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6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6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6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6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6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6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6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6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6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6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6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6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6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6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6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6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6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6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6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6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6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6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6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6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6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6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6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6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6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6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6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6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6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6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6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6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6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6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6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6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6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6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6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6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6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6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6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6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6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6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6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6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6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6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6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6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6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6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6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6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6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6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6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6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6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6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6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6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6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6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6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6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6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6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6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6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6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6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6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6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6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6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6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6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6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6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6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6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6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6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6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6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6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6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6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6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6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6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6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6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6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6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6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6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6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6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6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6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6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6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6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6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6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6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6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6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6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6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6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6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6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6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6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6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6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6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6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6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6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6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6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6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6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6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6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6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6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6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6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6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6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6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6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6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6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6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6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6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6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6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6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6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6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6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6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6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6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6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6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6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6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6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6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6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6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6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6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6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6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6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6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6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6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6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6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6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6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6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6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6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6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6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6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6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6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6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6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6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6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6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6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6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6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6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6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6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6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6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6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6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6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6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6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6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6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6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6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6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6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6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6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6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6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6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6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6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6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6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6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6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6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6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6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6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6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6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6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6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6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6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6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6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6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6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6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6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6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6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6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6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6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6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6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6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6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6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6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6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6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6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6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6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6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6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6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6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6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6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6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6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6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6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6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6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6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6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6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6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6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6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6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6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6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6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6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6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6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6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6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6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6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6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6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6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6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6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6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6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6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6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6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6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6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6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6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6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6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6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6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6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6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6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6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6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6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6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6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6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6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6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6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6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6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6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6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6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6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6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6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6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6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6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6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6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6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6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6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6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6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6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6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6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6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6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6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6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6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6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6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6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6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6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6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6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6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6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6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6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6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6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6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6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6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6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6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6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6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6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6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6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6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6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6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6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6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6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6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6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6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6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6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6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6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6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6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6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6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6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6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6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6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6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6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6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6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6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6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6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6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6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6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6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6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6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6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6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6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6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6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6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6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6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6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6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6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6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6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6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6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6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6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6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6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6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6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6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6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6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6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6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6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6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6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6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6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6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6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6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6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6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6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6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6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6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6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6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6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6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6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6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6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6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6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6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6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6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6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6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6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6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6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6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6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6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6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6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6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6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6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6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6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6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6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6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6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6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6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6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6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6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6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6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6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6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6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6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6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6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6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6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6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6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6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6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6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6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6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6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6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6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6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6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6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6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6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6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6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6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6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6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6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6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6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6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6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6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6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6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6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6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6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6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6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6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6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6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6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6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6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6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6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6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6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6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6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6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6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6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6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6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6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6.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6.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6.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6.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6.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6.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6.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6.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6.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6.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6.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6.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16.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 ht="16.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spans="1:26" ht="16.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spans="1:26" ht="16.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spans="1:26" ht="16.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spans="1:26" ht="16.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spans="1:26" ht="16.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spans="1:26" ht="16.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spans="1:26" ht="16.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spans="1:26" ht="16.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spans="1:26" ht="16.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spans="1:26" ht="16.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spans="1:26" ht="16.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spans="1:26" ht="16.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spans="1:26" ht="16.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spans="1:26" ht="16.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spans="1:26" ht="16.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spans="1:26" ht="16.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 spans="1:26" ht="16.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 spans="1:26" ht="16.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 spans="1:26" ht="16.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 spans="1:26" ht="16.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 spans="1:26" ht="16.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 spans="1:26" ht="16.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 spans="1:26" ht="16.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 spans="1:26" ht="16.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 spans="1:26" ht="16.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 spans="1:26" ht="16.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 spans="1:26" ht="16.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 spans="1:26" ht="16.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 spans="1:26" ht="16.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 spans="1:26" ht="16.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 spans="1:26" ht="16.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 spans="1:26" ht="16.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 spans="1:26" ht="16.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 spans="1:26" ht="16.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 spans="1:26" ht="16.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</sheetData>
  <mergeCells count="121">
    <mergeCell ref="G80:H80"/>
    <mergeCell ref="E81:F81"/>
    <mergeCell ref="G81:H81"/>
    <mergeCell ref="A16:A81"/>
    <mergeCell ref="B19:B24"/>
    <mergeCell ref="B28:B36"/>
    <mergeCell ref="B37:B53"/>
    <mergeCell ref="B54:B61"/>
    <mergeCell ref="B62:B69"/>
    <mergeCell ref="B70:B77"/>
    <mergeCell ref="B78:B79"/>
    <mergeCell ref="B80:D81"/>
    <mergeCell ref="C75:D75"/>
    <mergeCell ref="E75:F75"/>
    <mergeCell ref="C77:D77"/>
    <mergeCell ref="E77:F77"/>
    <mergeCell ref="C78:D78"/>
    <mergeCell ref="E78:F78"/>
    <mergeCell ref="C79:D79"/>
    <mergeCell ref="E79:F79"/>
    <mergeCell ref="E80:F80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62:D62"/>
    <mergeCell ref="E62:F62"/>
    <mergeCell ref="C63:D63"/>
    <mergeCell ref="E63:F63"/>
    <mergeCell ref="C64:D64"/>
    <mergeCell ref="E64:F64"/>
    <mergeCell ref="C65:D65"/>
    <mergeCell ref="E65:F65"/>
    <mergeCell ref="C67:D67"/>
    <mergeCell ref="E67:F67"/>
    <mergeCell ref="C55:D55"/>
    <mergeCell ref="E55:F55"/>
    <mergeCell ref="C56:D56"/>
    <mergeCell ref="E56:F56"/>
    <mergeCell ref="C57:D57"/>
    <mergeCell ref="E57:F57"/>
    <mergeCell ref="C59:D59"/>
    <mergeCell ref="E59:F59"/>
    <mergeCell ref="C61:D61"/>
    <mergeCell ref="E61:F61"/>
    <mergeCell ref="C49:D49"/>
    <mergeCell ref="E49:F49"/>
    <mergeCell ref="C50:D50"/>
    <mergeCell ref="E50:F50"/>
    <mergeCell ref="C52:D52"/>
    <mergeCell ref="E52:F52"/>
    <mergeCell ref="C53:D53"/>
    <mergeCell ref="E53:F53"/>
    <mergeCell ref="C54:D54"/>
    <mergeCell ref="E54:F54"/>
    <mergeCell ref="C41:D41"/>
    <mergeCell ref="E41:F41"/>
    <mergeCell ref="C42:D42"/>
    <mergeCell ref="E42:F42"/>
    <mergeCell ref="C43:D43"/>
    <mergeCell ref="E43:F43"/>
    <mergeCell ref="C45:D45"/>
    <mergeCell ref="E45:F45"/>
    <mergeCell ref="C47:D47"/>
    <mergeCell ref="E47:F47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30:D30"/>
    <mergeCell ref="E30:F30"/>
    <mergeCell ref="C31:D31"/>
    <mergeCell ref="E31:F31"/>
    <mergeCell ref="C32:D32"/>
    <mergeCell ref="E32:F32"/>
    <mergeCell ref="C34:D34"/>
    <mergeCell ref="E34:F34"/>
    <mergeCell ref="C35:D35"/>
    <mergeCell ref="E35:F35"/>
    <mergeCell ref="C23:D23"/>
    <mergeCell ref="E23:F23"/>
    <mergeCell ref="C24:D24"/>
    <mergeCell ref="E24:F24"/>
    <mergeCell ref="C26:D26"/>
    <mergeCell ref="E26:F26"/>
    <mergeCell ref="C27:D27"/>
    <mergeCell ref="E27:F27"/>
    <mergeCell ref="C28:D28"/>
    <mergeCell ref="E28:F28"/>
    <mergeCell ref="B17:D17"/>
    <mergeCell ref="E17:F17"/>
    <mergeCell ref="B18:D18"/>
    <mergeCell ref="E18:F18"/>
    <mergeCell ref="C19:D19"/>
    <mergeCell ref="E19:F19"/>
    <mergeCell ref="C21:D21"/>
    <mergeCell ref="E21:F21"/>
    <mergeCell ref="C22:D22"/>
    <mergeCell ref="E22:F22"/>
    <mergeCell ref="A1:B1"/>
    <mergeCell ref="A2:B2"/>
    <mergeCell ref="A3:B3"/>
    <mergeCell ref="A4:B4"/>
    <mergeCell ref="B6:E6"/>
    <mergeCell ref="B13:C13"/>
    <mergeCell ref="C15:D15"/>
    <mergeCell ref="E15:F15"/>
    <mergeCell ref="B16:D16"/>
    <mergeCell ref="E16:F16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abSelected="1" workbookViewId="0">
      <selection activeCell="F19" sqref="F19"/>
    </sheetView>
  </sheetViews>
  <sheetFormatPr defaultColWidth="14.42578125" defaultRowHeight="15" customHeight="1"/>
  <cols>
    <col min="1" max="1" width="8.7109375" customWidth="1"/>
    <col min="2" max="11" width="10" customWidth="1"/>
    <col min="12" max="26" width="8.7109375" customWidth="1"/>
  </cols>
  <sheetData>
    <row r="1" spans="1:11" ht="16.5">
      <c r="A1" s="135" t="s">
        <v>203</v>
      </c>
      <c r="B1" s="136"/>
      <c r="C1" s="136"/>
      <c r="D1" s="136"/>
      <c r="E1" s="136"/>
      <c r="F1" s="136"/>
      <c r="G1" s="136"/>
      <c r="H1" s="136"/>
      <c r="I1" s="136"/>
      <c r="J1" s="136"/>
      <c r="K1" s="132"/>
    </row>
    <row r="2" spans="1:11" ht="16.5">
      <c r="A2" s="133"/>
      <c r="B2" s="137" t="s">
        <v>48</v>
      </c>
      <c r="C2" s="120"/>
      <c r="D2" s="137" t="s">
        <v>38</v>
      </c>
      <c r="E2" s="120"/>
      <c r="F2" s="137" t="s">
        <v>32</v>
      </c>
      <c r="G2" s="120"/>
      <c r="H2" s="137" t="s">
        <v>40</v>
      </c>
      <c r="I2" s="120"/>
      <c r="J2" s="137" t="s">
        <v>35</v>
      </c>
      <c r="K2" s="138"/>
    </row>
    <row r="3" spans="1:11" ht="16.5">
      <c r="A3" s="134"/>
      <c r="B3" s="2" t="s">
        <v>12</v>
      </c>
      <c r="C3" s="2" t="s">
        <v>13</v>
      </c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3" t="s">
        <v>13</v>
      </c>
    </row>
    <row r="4" spans="1:11" ht="16.5">
      <c r="A4" s="4" t="s">
        <v>4</v>
      </c>
      <c r="B4" s="5">
        <f ca="1">'Sprint 1'!$D$8</f>
        <v>37.5</v>
      </c>
      <c r="C4" s="5">
        <f ca="1">'Sprint 1'!$E$8</f>
        <v>41.2</v>
      </c>
      <c r="D4" s="5">
        <f ca="1">'Sprint 1'!$D$9</f>
        <v>30.5</v>
      </c>
      <c r="E4" s="5">
        <f ca="1">'Sprint 1'!$E$9</f>
        <v>30.2</v>
      </c>
      <c r="F4" s="5">
        <f ca="1">'Sprint 1'!$D$10</f>
        <v>34.5</v>
      </c>
      <c r="G4" s="5">
        <f ca="1">'Sprint 1'!$E$10</f>
        <v>36.200000000000003</v>
      </c>
      <c r="H4" s="5">
        <f ca="1">'Sprint 1'!$D$11</f>
        <v>33.5</v>
      </c>
      <c r="I4" s="5">
        <f ca="1">'Sprint 1'!$E$11</f>
        <v>37.200000000000003</v>
      </c>
      <c r="J4" s="5">
        <f ca="1">'Sprint 1'!$D$12</f>
        <v>28</v>
      </c>
      <c r="K4" s="5">
        <f ca="1">'Sprint 1'!$E$12</f>
        <v>28.2</v>
      </c>
    </row>
    <row r="5" spans="1:11" ht="16.5">
      <c r="A5" s="4" t="s">
        <v>98</v>
      </c>
      <c r="B5" s="5">
        <f ca="1">'Sprint 2'!D8</f>
        <v>34.1</v>
      </c>
      <c r="C5" s="5">
        <f ca="1">'Sprint 2'!$E$8</f>
        <v>32.200000000000003</v>
      </c>
      <c r="D5" s="5">
        <f ca="1">'Sprint 2'!$D$9</f>
        <v>46.6</v>
      </c>
      <c r="E5" s="5">
        <f ca="1">'Sprint 2'!$E$9</f>
        <v>49.2</v>
      </c>
      <c r="F5" s="5">
        <f ca="1">'Sprint 2'!$D$10</f>
        <v>32.1</v>
      </c>
      <c r="G5" s="5">
        <f ca="1">'Sprint 2'!$E$10</f>
        <v>27.2</v>
      </c>
      <c r="H5" s="5">
        <f ca="1">'Sprint 2'!$D$11</f>
        <v>48.6</v>
      </c>
      <c r="I5" s="5">
        <f ca="1">'Sprint 2'!$E$11</f>
        <v>43.2</v>
      </c>
      <c r="J5" s="5">
        <f ca="1">'Sprint 2'!$D$12</f>
        <v>32.6</v>
      </c>
      <c r="K5" s="5">
        <f ca="1">'Sprint 2'!$E$12</f>
        <v>30.2</v>
      </c>
    </row>
    <row r="6" spans="1:11" ht="16.5">
      <c r="A6" s="4" t="s">
        <v>153</v>
      </c>
      <c r="B6" s="5">
        <f ca="1">'Sprint 3'!D8</f>
        <v>65.599999999999994</v>
      </c>
      <c r="C6" s="5">
        <f ca="1">'Sprint 3'!E8</f>
        <v>49.6</v>
      </c>
      <c r="D6" s="5">
        <f ca="1">'Sprint 3'!D9</f>
        <v>39.6</v>
      </c>
      <c r="E6" s="5">
        <f ca="1">'Sprint 3'!$E$9</f>
        <v>42.6</v>
      </c>
      <c r="F6" s="5">
        <f ca="1">'Sprint 3'!$D$10</f>
        <v>14.6</v>
      </c>
      <c r="G6" s="5">
        <f ca="1">'Sprint 3'!$E$10</f>
        <v>13.6</v>
      </c>
      <c r="H6" s="5">
        <f ca="1">'Sprint 3'!$D$11</f>
        <v>41.1</v>
      </c>
      <c r="I6" s="5">
        <f ca="1">'Sprint 3'!$E$11</f>
        <v>39.6</v>
      </c>
      <c r="J6" s="5">
        <f ca="1">'Sprint 3'!$D$12</f>
        <v>30.6</v>
      </c>
      <c r="K6" s="5">
        <f ca="1">'Sprint 3'!$E$12</f>
        <v>26.6</v>
      </c>
    </row>
    <row r="7" spans="1:11" ht="16.5">
      <c r="A7" s="6" t="s">
        <v>19</v>
      </c>
      <c r="B7" s="7">
        <f t="shared" ref="B7:K7" ca="1" si="0">SUM(B4:B6)</f>
        <v>137.19999999999999</v>
      </c>
      <c r="C7" s="7">
        <f t="shared" ca="1" si="0"/>
        <v>123</v>
      </c>
      <c r="D7" s="7">
        <f t="shared" ca="1" si="0"/>
        <v>116.69999999999999</v>
      </c>
      <c r="E7" s="7">
        <f t="shared" ca="1" si="0"/>
        <v>122</v>
      </c>
      <c r="F7" s="7">
        <f t="shared" ca="1" si="0"/>
        <v>81.199999999999989</v>
      </c>
      <c r="G7" s="7">
        <f t="shared" ca="1" si="0"/>
        <v>77</v>
      </c>
      <c r="H7" s="7">
        <f t="shared" ca="1" si="0"/>
        <v>123.19999999999999</v>
      </c>
      <c r="I7" s="7">
        <f t="shared" ca="1" si="0"/>
        <v>120</v>
      </c>
      <c r="J7" s="7">
        <f t="shared" ca="1" si="0"/>
        <v>91.2</v>
      </c>
      <c r="K7" s="7">
        <f t="shared" ca="1" si="0"/>
        <v>85</v>
      </c>
    </row>
    <row r="10" spans="1:11" ht="16.5">
      <c r="E10" s="131" t="s">
        <v>204</v>
      </c>
      <c r="F10" s="132"/>
    </row>
    <row r="11" spans="1:11" ht="16.5">
      <c r="E11" s="8" t="s">
        <v>12</v>
      </c>
      <c r="F11" s="9">
        <f ca="1">SUMIF($B$3:$K$3,"Thực tế",$B$7:$K$7)</f>
        <v>549.5</v>
      </c>
    </row>
    <row r="12" spans="1:11" ht="16.5">
      <c r="E12" s="10" t="s">
        <v>13</v>
      </c>
      <c r="F12" s="11">
        <f ca="1">SUMIF($B$3:$K$3,"Ước tính",$B$7:$K$7)</f>
        <v>527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E10:F10"/>
    <mergeCell ref="A2:A3"/>
    <mergeCell ref="A1:K1"/>
    <mergeCell ref="B2:C2"/>
    <mergeCell ref="D2:E2"/>
    <mergeCell ref="F2:G2"/>
    <mergeCell ref="H2:I2"/>
    <mergeCell ref="J2:K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Frenkie Vo</cp:lastModifiedBy>
  <dcterms:created xsi:type="dcterms:W3CDTF">2021-04-23T08:05:00Z</dcterms:created>
  <dcterms:modified xsi:type="dcterms:W3CDTF">2026-05-12T14:36:36Z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1033-12.1.0.25180</vt:lpwstr>
  </property>
  <property fmtid="{D5CDD505-2E9C-101B-9397-08002B2CF9AE}" pid="3" name="CalculationRule">
    <vt:i4>0</vt:i4>
  </property>
  <property fmtid="{D5CDD505-2E9C-101B-9397-08002B2CF9AE}" pid="4" name="ICV">
    <vt:lpwstr>D4B4A57C11E94ED08CB35FA6E9D74087_12</vt:lpwstr>
  </property>
</Properties>
</file>